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1498B3C4373867/DOCUMENTOS_EXCEL/"/>
    </mc:Choice>
  </mc:AlternateContent>
  <xr:revisionPtr revIDLastSave="3674" documentId="8_{FFC92CA8-A633-40BE-8E56-4F9D61ABD7E2}" xr6:coauthVersionLast="47" xr6:coauthVersionMax="47" xr10:uidLastSave="{6558F94B-2B41-CF48-8D86-62635FFC5A00}"/>
  <bookViews>
    <workbookView xWindow="-110" yWindow="-110" windowWidth="19420" windowHeight="10300" firstSheet="2" activeTab="11" xr2:uid="{58C13FB9-58C5-4D53-86A7-FA1AAB49DCCE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JUNIO" sheetId="6" r:id="rId6"/>
    <sheet name="JULIO" sheetId="7" r:id="rId7"/>
    <sheet name="AGOSTO" sheetId="8" r:id="rId8"/>
    <sheet name="SEPTIEMBRE" sheetId="9" r:id="rId9"/>
    <sheet name="OCTUBRE" sheetId="10" r:id="rId10"/>
    <sheet name="NOVIEMBRE" sheetId="11" r:id="rId11"/>
    <sheet name="DICIEMBRE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0" l="1"/>
  <c r="O4" i="10"/>
  <c r="P4" i="10"/>
  <c r="M8" i="9"/>
  <c r="M41" i="6"/>
  <c r="O41" i="6"/>
  <c r="P41" i="6"/>
  <c r="M28" i="6"/>
  <c r="P28" i="6"/>
  <c r="M2" i="5"/>
  <c r="O2" i="5"/>
  <c r="P2" i="5"/>
  <c r="M4" i="3"/>
  <c r="P4" i="3"/>
  <c r="O4" i="3"/>
  <c r="M3" i="3"/>
  <c r="O3" i="3"/>
  <c r="P3" i="3"/>
  <c r="M2" i="3"/>
  <c r="O2" i="3"/>
  <c r="P2" i="3"/>
  <c r="S41" i="13"/>
  <c r="O40" i="13"/>
  <c r="M40" i="13"/>
  <c r="P40" i="13"/>
  <c r="O39" i="13"/>
  <c r="M39" i="13"/>
  <c r="P39" i="13"/>
  <c r="M38" i="13"/>
  <c r="P38" i="13"/>
  <c r="O38" i="13"/>
  <c r="O37" i="13"/>
  <c r="M37" i="13"/>
  <c r="P37" i="13"/>
  <c r="O36" i="13"/>
  <c r="M36" i="13"/>
  <c r="P36" i="13"/>
  <c r="M35" i="13"/>
  <c r="P35" i="13"/>
  <c r="O35" i="13"/>
  <c r="O34" i="13"/>
  <c r="M34" i="13"/>
  <c r="P34" i="13"/>
  <c r="M33" i="13"/>
  <c r="P33" i="13"/>
  <c r="O33" i="13"/>
  <c r="O32" i="13"/>
  <c r="M32" i="13"/>
  <c r="P32" i="13"/>
  <c r="O31" i="13"/>
  <c r="M31" i="13"/>
  <c r="P31" i="13"/>
  <c r="M30" i="13"/>
  <c r="P30" i="13"/>
  <c r="O30" i="13"/>
  <c r="O29" i="13"/>
  <c r="M29" i="13"/>
  <c r="P29" i="13"/>
  <c r="O28" i="13"/>
  <c r="M28" i="13"/>
  <c r="P28" i="13"/>
  <c r="M27" i="13"/>
  <c r="P27" i="13"/>
  <c r="O27" i="13"/>
  <c r="O26" i="13"/>
  <c r="M26" i="13"/>
  <c r="P26" i="13"/>
  <c r="M25" i="13"/>
  <c r="P25" i="13"/>
  <c r="O25" i="13"/>
  <c r="M24" i="13"/>
  <c r="P24" i="13"/>
  <c r="O24" i="13"/>
  <c r="O23" i="13"/>
  <c r="M23" i="13"/>
  <c r="P23" i="13"/>
  <c r="M22" i="13"/>
  <c r="P22" i="13"/>
  <c r="O22" i="13"/>
  <c r="O21" i="13"/>
  <c r="M21" i="13"/>
  <c r="P21" i="13"/>
  <c r="O20" i="13"/>
  <c r="M20" i="13"/>
  <c r="P20" i="13"/>
  <c r="M19" i="13"/>
  <c r="P19" i="13"/>
  <c r="O19" i="13"/>
  <c r="M18" i="13"/>
  <c r="O18" i="13"/>
  <c r="P18" i="13"/>
  <c r="M17" i="13"/>
  <c r="P17" i="13"/>
  <c r="O17" i="13"/>
  <c r="M16" i="13"/>
  <c r="P16" i="13"/>
  <c r="O16" i="13"/>
  <c r="M15" i="13"/>
  <c r="O15" i="13"/>
  <c r="P15" i="13"/>
  <c r="M14" i="13"/>
  <c r="P14" i="13"/>
  <c r="O14" i="13"/>
  <c r="M13" i="13"/>
  <c r="O13" i="13"/>
  <c r="P13" i="13"/>
  <c r="O12" i="13"/>
  <c r="M12" i="13"/>
  <c r="P12" i="13"/>
  <c r="M11" i="13"/>
  <c r="P11" i="13"/>
  <c r="O11" i="13"/>
  <c r="M10" i="13"/>
  <c r="O10" i="13"/>
  <c r="P10" i="13"/>
  <c r="M9" i="13"/>
  <c r="P9" i="13"/>
  <c r="O9" i="13"/>
  <c r="M8" i="13"/>
  <c r="P8" i="13"/>
  <c r="O8" i="13"/>
  <c r="O7" i="13"/>
  <c r="M7" i="13"/>
  <c r="P7" i="13"/>
  <c r="M6" i="13"/>
  <c r="P6" i="13"/>
  <c r="O6" i="13"/>
  <c r="O5" i="13"/>
  <c r="M5" i="13"/>
  <c r="P5" i="13"/>
  <c r="O4" i="13"/>
  <c r="M4" i="13"/>
  <c r="P4" i="13"/>
  <c r="M3" i="13"/>
  <c r="P3" i="13"/>
  <c r="O3" i="13"/>
  <c r="O2" i="13"/>
  <c r="M2" i="13"/>
  <c r="P2" i="13"/>
  <c r="S41" i="11"/>
  <c r="M40" i="11"/>
  <c r="P40" i="11"/>
  <c r="O40" i="11"/>
  <c r="O39" i="11"/>
  <c r="M39" i="11"/>
  <c r="P39" i="11"/>
  <c r="O38" i="11"/>
  <c r="M38" i="11"/>
  <c r="P38" i="11"/>
  <c r="M37" i="11"/>
  <c r="P37" i="11"/>
  <c r="O37" i="11"/>
  <c r="O36" i="11"/>
  <c r="M36" i="11"/>
  <c r="P36" i="11"/>
  <c r="M35" i="11"/>
  <c r="P35" i="11"/>
  <c r="O35" i="11"/>
  <c r="O34" i="11"/>
  <c r="M34" i="11"/>
  <c r="P34" i="11"/>
  <c r="O33" i="11"/>
  <c r="M33" i="11"/>
  <c r="P33" i="11"/>
  <c r="M32" i="11"/>
  <c r="P32" i="11"/>
  <c r="O32" i="11"/>
  <c r="O31" i="11"/>
  <c r="M31" i="11"/>
  <c r="P31" i="11"/>
  <c r="O30" i="11"/>
  <c r="M30" i="11"/>
  <c r="P30" i="11"/>
  <c r="M29" i="11"/>
  <c r="P29" i="11"/>
  <c r="O29" i="11"/>
  <c r="O28" i="11"/>
  <c r="M28" i="11"/>
  <c r="P28" i="11"/>
  <c r="M27" i="11"/>
  <c r="P27" i="11"/>
  <c r="O27" i="11"/>
  <c r="O26" i="11"/>
  <c r="M26" i="11"/>
  <c r="P26" i="11"/>
  <c r="O25" i="11"/>
  <c r="M25" i="11"/>
  <c r="P25" i="11"/>
  <c r="M24" i="11"/>
  <c r="P24" i="11"/>
  <c r="O24" i="11"/>
  <c r="O23" i="11"/>
  <c r="M23" i="11"/>
  <c r="P23" i="11"/>
  <c r="O22" i="11"/>
  <c r="M22" i="11"/>
  <c r="P22" i="11"/>
  <c r="M21" i="11"/>
  <c r="P21" i="11"/>
  <c r="O21" i="11"/>
  <c r="O20" i="11"/>
  <c r="M20" i="11"/>
  <c r="P20" i="11"/>
  <c r="M19" i="11"/>
  <c r="P19" i="11"/>
  <c r="O19" i="11"/>
  <c r="M18" i="11"/>
  <c r="O18" i="11"/>
  <c r="P18" i="11"/>
  <c r="M17" i="11"/>
  <c r="O17" i="11"/>
  <c r="P17" i="11"/>
  <c r="M16" i="11"/>
  <c r="P16" i="11"/>
  <c r="O16" i="11"/>
  <c r="M15" i="11"/>
  <c r="O15" i="11"/>
  <c r="P15" i="11"/>
  <c r="M14" i="11"/>
  <c r="O14" i="11"/>
  <c r="P14" i="11"/>
  <c r="M13" i="11"/>
  <c r="P13" i="11"/>
  <c r="O13" i="11"/>
  <c r="M12" i="11"/>
  <c r="O12" i="11"/>
  <c r="P12" i="11"/>
  <c r="M11" i="11"/>
  <c r="P11" i="11"/>
  <c r="O11" i="11"/>
  <c r="O10" i="11"/>
  <c r="M10" i="11"/>
  <c r="P10" i="11"/>
  <c r="M9" i="11"/>
  <c r="O9" i="11"/>
  <c r="P9" i="11"/>
  <c r="M8" i="11"/>
  <c r="P8" i="11"/>
  <c r="O8" i="11"/>
  <c r="M7" i="11"/>
  <c r="O7" i="11"/>
  <c r="P7" i="11"/>
  <c r="M6" i="11"/>
  <c r="O6" i="11"/>
  <c r="M5" i="11"/>
  <c r="P5" i="11"/>
  <c r="O5" i="11"/>
  <c r="M4" i="11"/>
  <c r="O4" i="11"/>
  <c r="P4" i="11"/>
  <c r="M3" i="11"/>
  <c r="P3" i="11"/>
  <c r="O3" i="11"/>
  <c r="M2" i="11"/>
  <c r="O2" i="11"/>
  <c r="P2" i="11"/>
  <c r="S42" i="10"/>
  <c r="M41" i="10"/>
  <c r="P41" i="10"/>
  <c r="O41" i="10"/>
  <c r="O40" i="10"/>
  <c r="M40" i="10"/>
  <c r="P40" i="10"/>
  <c r="O39" i="10"/>
  <c r="M39" i="10"/>
  <c r="P39" i="10"/>
  <c r="M38" i="10"/>
  <c r="P38" i="10"/>
  <c r="O38" i="10"/>
  <c r="M37" i="10"/>
  <c r="P37" i="10"/>
  <c r="O37" i="10"/>
  <c r="O36" i="10"/>
  <c r="M36" i="10"/>
  <c r="P36" i="10"/>
  <c r="O35" i="10"/>
  <c r="M35" i="10"/>
  <c r="P35" i="10"/>
  <c r="M34" i="10"/>
  <c r="P34" i="10"/>
  <c r="O34" i="10"/>
  <c r="M33" i="10"/>
  <c r="P33" i="10"/>
  <c r="O33" i="10"/>
  <c r="O32" i="10"/>
  <c r="M32" i="10"/>
  <c r="P32" i="10"/>
  <c r="O31" i="10"/>
  <c r="M31" i="10"/>
  <c r="P31" i="10"/>
  <c r="M30" i="10"/>
  <c r="P30" i="10"/>
  <c r="O30" i="10"/>
  <c r="M29" i="10"/>
  <c r="P29" i="10"/>
  <c r="O29" i="10"/>
  <c r="O28" i="10"/>
  <c r="M28" i="10"/>
  <c r="P28" i="10"/>
  <c r="O27" i="10"/>
  <c r="M27" i="10"/>
  <c r="P27" i="10"/>
  <c r="M26" i="10"/>
  <c r="P26" i="10"/>
  <c r="O26" i="10"/>
  <c r="M25" i="10"/>
  <c r="P25" i="10"/>
  <c r="O25" i="10"/>
  <c r="O24" i="10"/>
  <c r="M24" i="10"/>
  <c r="P24" i="10"/>
  <c r="O23" i="10"/>
  <c r="M23" i="10"/>
  <c r="P23" i="10"/>
  <c r="M22" i="10"/>
  <c r="P22" i="10"/>
  <c r="O22" i="10"/>
  <c r="M21" i="10"/>
  <c r="P21" i="10"/>
  <c r="O21" i="10"/>
  <c r="M20" i="10"/>
  <c r="O20" i="10"/>
  <c r="P20" i="10"/>
  <c r="M19" i="10"/>
  <c r="O19" i="10"/>
  <c r="P19" i="10"/>
  <c r="M18" i="10"/>
  <c r="P18" i="10"/>
  <c r="O18" i="10"/>
  <c r="M17" i="10"/>
  <c r="P17" i="10"/>
  <c r="O17" i="10"/>
  <c r="M16" i="10"/>
  <c r="O16" i="10"/>
  <c r="P16" i="10"/>
  <c r="M15" i="10"/>
  <c r="O15" i="10"/>
  <c r="P15" i="10"/>
  <c r="M14" i="10"/>
  <c r="P14" i="10"/>
  <c r="O14" i="10"/>
  <c r="M13" i="10"/>
  <c r="P13" i="10"/>
  <c r="O13" i="10"/>
  <c r="M12" i="10"/>
  <c r="O12" i="10"/>
  <c r="P12" i="10"/>
  <c r="M11" i="10"/>
  <c r="O11" i="10"/>
  <c r="P11" i="10"/>
  <c r="M10" i="10"/>
  <c r="P10" i="10"/>
  <c r="O10" i="10"/>
  <c r="M9" i="10"/>
  <c r="P9" i="10"/>
  <c r="O9" i="10"/>
  <c r="M8" i="10"/>
  <c r="O8" i="10"/>
  <c r="P8" i="10"/>
  <c r="O7" i="10"/>
  <c r="M7" i="10"/>
  <c r="P7" i="10"/>
  <c r="M6" i="10"/>
  <c r="P6" i="10"/>
  <c r="O6" i="10"/>
  <c r="M5" i="10"/>
  <c r="P5" i="10"/>
  <c r="O5" i="10"/>
  <c r="M3" i="10"/>
  <c r="O3" i="10"/>
  <c r="P3" i="10"/>
  <c r="M2" i="10"/>
  <c r="O2" i="10"/>
  <c r="P2" i="10"/>
  <c r="S41" i="9"/>
  <c r="O40" i="9"/>
  <c r="M40" i="9"/>
  <c r="P40" i="9"/>
  <c r="M39" i="9"/>
  <c r="P39" i="9"/>
  <c r="O39" i="9"/>
  <c r="M38" i="9"/>
  <c r="P38" i="9"/>
  <c r="O38" i="9"/>
  <c r="O37" i="9"/>
  <c r="M37" i="9"/>
  <c r="P37" i="9"/>
  <c r="O36" i="9"/>
  <c r="M36" i="9"/>
  <c r="P36" i="9"/>
  <c r="M35" i="9"/>
  <c r="P35" i="9"/>
  <c r="O35" i="9"/>
  <c r="M34" i="9"/>
  <c r="P34" i="9"/>
  <c r="O34" i="9"/>
  <c r="O33" i="9"/>
  <c r="M33" i="9"/>
  <c r="P33" i="9"/>
  <c r="O32" i="9"/>
  <c r="M32" i="9"/>
  <c r="P32" i="9"/>
  <c r="M31" i="9"/>
  <c r="P31" i="9"/>
  <c r="O31" i="9"/>
  <c r="M30" i="9"/>
  <c r="P30" i="9"/>
  <c r="O30" i="9"/>
  <c r="O29" i="9"/>
  <c r="M29" i="9"/>
  <c r="P29" i="9"/>
  <c r="O28" i="9"/>
  <c r="M28" i="9"/>
  <c r="P28" i="9"/>
  <c r="M27" i="9"/>
  <c r="P27" i="9"/>
  <c r="O27" i="9"/>
  <c r="M26" i="9"/>
  <c r="P26" i="9"/>
  <c r="O26" i="9"/>
  <c r="O25" i="9"/>
  <c r="M25" i="9"/>
  <c r="P25" i="9"/>
  <c r="M24" i="9"/>
  <c r="P24" i="9"/>
  <c r="O24" i="9"/>
  <c r="M23" i="9"/>
  <c r="P23" i="9"/>
  <c r="O23" i="9"/>
  <c r="M22" i="9"/>
  <c r="P22" i="9"/>
  <c r="O22" i="9"/>
  <c r="O21" i="9"/>
  <c r="M21" i="9"/>
  <c r="P21" i="9"/>
  <c r="M19" i="9"/>
  <c r="P19" i="9"/>
  <c r="O19" i="9"/>
  <c r="M18" i="9"/>
  <c r="P18" i="9"/>
  <c r="O18" i="9"/>
  <c r="M17" i="9"/>
  <c r="O17" i="9"/>
  <c r="P17" i="9"/>
  <c r="M16" i="9"/>
  <c r="P16" i="9"/>
  <c r="O16" i="9"/>
  <c r="M15" i="9"/>
  <c r="O15" i="9"/>
  <c r="M14" i="9"/>
  <c r="P14" i="9"/>
  <c r="O14" i="9"/>
  <c r="M13" i="9"/>
  <c r="O13" i="9"/>
  <c r="P13" i="9"/>
  <c r="M12" i="9"/>
  <c r="O12" i="9"/>
  <c r="P12" i="9"/>
  <c r="M11" i="9"/>
  <c r="P11" i="9"/>
  <c r="O11" i="9"/>
  <c r="M10" i="9"/>
  <c r="P10" i="9"/>
  <c r="O10" i="9"/>
  <c r="M9" i="9"/>
  <c r="O9" i="9"/>
  <c r="P9" i="9"/>
  <c r="P8" i="9"/>
  <c r="O8" i="9"/>
  <c r="M7" i="9"/>
  <c r="P7" i="9"/>
  <c r="O7" i="9"/>
  <c r="M6" i="9"/>
  <c r="O6" i="9"/>
  <c r="P6" i="9"/>
  <c r="M5" i="9"/>
  <c r="O5" i="9"/>
  <c r="P5" i="9"/>
  <c r="M4" i="9"/>
  <c r="O4" i="9"/>
  <c r="P4" i="9"/>
  <c r="M3" i="9"/>
  <c r="P3" i="9"/>
  <c r="O3" i="9"/>
  <c r="M2" i="9"/>
  <c r="P2" i="9"/>
  <c r="O2" i="9"/>
  <c r="S41" i="8"/>
  <c r="M40" i="8"/>
  <c r="P40" i="8"/>
  <c r="O40" i="8"/>
  <c r="O39" i="8"/>
  <c r="M39" i="8"/>
  <c r="P39" i="8"/>
  <c r="M38" i="8"/>
  <c r="P38" i="8"/>
  <c r="O38" i="8"/>
  <c r="M37" i="8"/>
  <c r="P37" i="8"/>
  <c r="O37" i="8"/>
  <c r="O36" i="8"/>
  <c r="M36" i="8"/>
  <c r="P36" i="8"/>
  <c r="O35" i="8"/>
  <c r="M35" i="8"/>
  <c r="P35" i="8"/>
  <c r="O34" i="8"/>
  <c r="M34" i="8"/>
  <c r="P34" i="8"/>
  <c r="O33" i="8"/>
  <c r="M33" i="8"/>
  <c r="P33" i="8"/>
  <c r="M32" i="8"/>
  <c r="P32" i="8"/>
  <c r="O32" i="8"/>
  <c r="O31" i="8"/>
  <c r="M31" i="8"/>
  <c r="P31" i="8"/>
  <c r="M30" i="8"/>
  <c r="P30" i="8"/>
  <c r="O30" i="8"/>
  <c r="M29" i="8"/>
  <c r="P29" i="8"/>
  <c r="O29" i="8"/>
  <c r="O28" i="8"/>
  <c r="M28" i="8"/>
  <c r="P28" i="8"/>
  <c r="O27" i="8"/>
  <c r="M27" i="8"/>
  <c r="P27" i="8"/>
  <c r="M26" i="8"/>
  <c r="O26" i="8"/>
  <c r="P26" i="8"/>
  <c r="M25" i="8"/>
  <c r="O25" i="8"/>
  <c r="P25" i="8"/>
  <c r="M24" i="8"/>
  <c r="P24" i="8"/>
  <c r="O24" i="8"/>
  <c r="M23" i="8"/>
  <c r="O23" i="8"/>
  <c r="P23" i="8"/>
  <c r="M22" i="8"/>
  <c r="P22" i="8"/>
  <c r="O22" i="8"/>
  <c r="M21" i="8"/>
  <c r="P21" i="8"/>
  <c r="O21" i="8"/>
  <c r="M20" i="8"/>
  <c r="O20" i="8"/>
  <c r="P20" i="8"/>
  <c r="O19" i="8"/>
  <c r="M19" i="8"/>
  <c r="P19" i="8"/>
  <c r="M18" i="8"/>
  <c r="O18" i="8"/>
  <c r="P18" i="8"/>
  <c r="M17" i="8"/>
  <c r="O17" i="8"/>
  <c r="P17" i="8"/>
  <c r="M16" i="8"/>
  <c r="P16" i="8"/>
  <c r="O16" i="8"/>
  <c r="M15" i="8"/>
  <c r="P15" i="8"/>
  <c r="O15" i="8"/>
  <c r="M14" i="8"/>
  <c r="P14" i="8"/>
  <c r="O14" i="8"/>
  <c r="M13" i="8"/>
  <c r="P13" i="8"/>
  <c r="O13" i="8"/>
  <c r="O12" i="8"/>
  <c r="M12" i="8"/>
  <c r="P12" i="8"/>
  <c r="O11" i="8"/>
  <c r="M11" i="8"/>
  <c r="P11" i="8"/>
  <c r="M10" i="8"/>
  <c r="O10" i="8"/>
  <c r="P10" i="8"/>
  <c r="M9" i="8"/>
  <c r="P9" i="8"/>
  <c r="O9" i="8"/>
  <c r="M8" i="8"/>
  <c r="P8" i="8"/>
  <c r="O8" i="8"/>
  <c r="M7" i="8"/>
  <c r="P7" i="8"/>
  <c r="O7" i="8"/>
  <c r="M6" i="8"/>
  <c r="P6" i="8"/>
  <c r="O6" i="8"/>
  <c r="M5" i="8"/>
  <c r="P5" i="8"/>
  <c r="O5" i="8"/>
  <c r="M4" i="8"/>
  <c r="O4" i="8"/>
  <c r="P4" i="8"/>
  <c r="M3" i="8"/>
  <c r="O3" i="8"/>
  <c r="P3" i="8"/>
  <c r="M2" i="8"/>
  <c r="O2" i="8"/>
  <c r="P2" i="8"/>
  <c r="S41" i="7"/>
  <c r="O40" i="7"/>
  <c r="M40" i="7"/>
  <c r="P40" i="7"/>
  <c r="O39" i="7"/>
  <c r="M39" i="7"/>
  <c r="P39" i="7"/>
  <c r="M38" i="7"/>
  <c r="P38" i="7"/>
  <c r="O38" i="7"/>
  <c r="M37" i="7"/>
  <c r="P37" i="7"/>
  <c r="O37" i="7"/>
  <c r="O36" i="7"/>
  <c r="M36" i="7"/>
  <c r="P36" i="7"/>
  <c r="O35" i="7"/>
  <c r="M35" i="7"/>
  <c r="P35" i="7"/>
  <c r="O34" i="7"/>
  <c r="M34" i="7"/>
  <c r="P34" i="7"/>
  <c r="M33" i="7"/>
  <c r="P33" i="7"/>
  <c r="O33" i="7"/>
  <c r="O32" i="7"/>
  <c r="M32" i="7"/>
  <c r="P32" i="7"/>
  <c r="O31" i="7"/>
  <c r="M31" i="7"/>
  <c r="P31" i="7"/>
  <c r="M30" i="7"/>
  <c r="P30" i="7"/>
  <c r="O30" i="7"/>
  <c r="M29" i="7"/>
  <c r="P29" i="7"/>
  <c r="O29" i="7"/>
  <c r="O28" i="7"/>
  <c r="M28" i="7"/>
  <c r="P28" i="7"/>
  <c r="O27" i="7"/>
  <c r="M27" i="7"/>
  <c r="P27" i="7"/>
  <c r="O26" i="7"/>
  <c r="M26" i="7"/>
  <c r="P26" i="7"/>
  <c r="M25" i="7"/>
  <c r="P25" i="7"/>
  <c r="O25" i="7"/>
  <c r="M24" i="7"/>
  <c r="P24" i="7"/>
  <c r="O24" i="7"/>
  <c r="O23" i="7"/>
  <c r="M23" i="7"/>
  <c r="P23" i="7"/>
  <c r="M22" i="7"/>
  <c r="P22" i="7"/>
  <c r="O22" i="7"/>
  <c r="M21" i="7"/>
  <c r="P21" i="7"/>
  <c r="O21" i="7"/>
  <c r="M20" i="7"/>
  <c r="O20" i="7"/>
  <c r="P20" i="7"/>
  <c r="M19" i="7"/>
  <c r="O19" i="7"/>
  <c r="P19" i="7"/>
  <c r="M18" i="7"/>
  <c r="O18" i="7"/>
  <c r="P18" i="7"/>
  <c r="M17" i="7"/>
  <c r="P17" i="7"/>
  <c r="O17" i="7"/>
  <c r="M16" i="7"/>
  <c r="P16" i="7"/>
  <c r="O16" i="7"/>
  <c r="M15" i="7"/>
  <c r="O15" i="7"/>
  <c r="P15" i="7"/>
  <c r="M14" i="7"/>
  <c r="P14" i="7"/>
  <c r="O14" i="7"/>
  <c r="M13" i="7"/>
  <c r="P13" i="7"/>
  <c r="O13" i="7"/>
  <c r="M12" i="7"/>
  <c r="O12" i="7"/>
  <c r="P12" i="7"/>
  <c r="M11" i="7"/>
  <c r="O11" i="7"/>
  <c r="P11" i="7"/>
  <c r="M10" i="7"/>
  <c r="O10" i="7"/>
  <c r="P10" i="7"/>
  <c r="M9" i="7"/>
  <c r="P9" i="7"/>
  <c r="M8" i="7"/>
  <c r="P8" i="7"/>
  <c r="O8" i="7"/>
  <c r="M7" i="7"/>
  <c r="O7" i="7"/>
  <c r="P7" i="7"/>
  <c r="M6" i="7"/>
  <c r="P6" i="7"/>
  <c r="O6" i="7"/>
  <c r="M5" i="7"/>
  <c r="P5" i="7"/>
  <c r="O5" i="7"/>
  <c r="M4" i="7"/>
  <c r="O4" i="7"/>
  <c r="P4" i="7"/>
  <c r="M3" i="7"/>
  <c r="O3" i="7"/>
  <c r="P3" i="7"/>
  <c r="M2" i="7"/>
  <c r="O2" i="7"/>
  <c r="P2" i="7"/>
  <c r="S42" i="6"/>
  <c r="M40" i="6"/>
  <c r="P40" i="6"/>
  <c r="O40" i="6"/>
  <c r="M39" i="6"/>
  <c r="P39" i="6"/>
  <c r="O39" i="6"/>
  <c r="O38" i="6"/>
  <c r="M38" i="6"/>
  <c r="P38" i="6"/>
  <c r="M37" i="6"/>
  <c r="P37" i="6"/>
  <c r="O37" i="6"/>
  <c r="O36" i="6"/>
  <c r="M36" i="6"/>
  <c r="P36" i="6"/>
  <c r="O35" i="6"/>
  <c r="M35" i="6"/>
  <c r="P35" i="6"/>
  <c r="O34" i="6"/>
  <c r="M34" i="6"/>
  <c r="P34" i="6"/>
  <c r="O33" i="6"/>
  <c r="M33" i="6"/>
  <c r="P33" i="6"/>
  <c r="M32" i="6"/>
  <c r="P32" i="6"/>
  <c r="O32" i="6"/>
  <c r="M31" i="6"/>
  <c r="P31" i="6"/>
  <c r="O31" i="6"/>
  <c r="O30" i="6"/>
  <c r="M30" i="6"/>
  <c r="P30" i="6"/>
  <c r="M29" i="6"/>
  <c r="P29" i="6"/>
  <c r="O29" i="6"/>
  <c r="O28" i="6"/>
  <c r="M27" i="6"/>
  <c r="O27" i="6"/>
  <c r="P27" i="6"/>
  <c r="O26" i="6"/>
  <c r="P26" i="6"/>
  <c r="M25" i="6"/>
  <c r="O25" i="6"/>
  <c r="P25" i="6"/>
  <c r="M24" i="6"/>
  <c r="P24" i="6"/>
  <c r="O24" i="6"/>
  <c r="M23" i="6"/>
  <c r="P23" i="6"/>
  <c r="O23" i="6"/>
  <c r="M22" i="6"/>
  <c r="P22" i="6"/>
  <c r="M21" i="6"/>
  <c r="P21" i="6"/>
  <c r="O21" i="6"/>
  <c r="M20" i="6"/>
  <c r="O20" i="6"/>
  <c r="P20" i="6"/>
  <c r="M19" i="6"/>
  <c r="O19" i="6"/>
  <c r="P19" i="6"/>
  <c r="M18" i="6"/>
  <c r="O18" i="6"/>
  <c r="P18" i="6"/>
  <c r="M17" i="6"/>
  <c r="O17" i="6"/>
  <c r="P17" i="6"/>
  <c r="M16" i="6"/>
  <c r="P16" i="6"/>
  <c r="O16" i="6"/>
  <c r="M15" i="6"/>
  <c r="P15" i="6"/>
  <c r="O15" i="6"/>
  <c r="M14" i="6"/>
  <c r="O14" i="6"/>
  <c r="P14" i="6"/>
  <c r="M13" i="6"/>
  <c r="P13" i="6"/>
  <c r="O13" i="6"/>
  <c r="M12" i="6"/>
  <c r="O12" i="6"/>
  <c r="P12" i="6"/>
  <c r="O11" i="6"/>
  <c r="M11" i="6"/>
  <c r="P11" i="6"/>
  <c r="M10" i="6"/>
  <c r="O10" i="6"/>
  <c r="P10" i="6"/>
  <c r="M9" i="6"/>
  <c r="O9" i="6"/>
  <c r="P9" i="6"/>
  <c r="M8" i="6"/>
  <c r="P8" i="6"/>
  <c r="O8" i="6"/>
  <c r="M7" i="6"/>
  <c r="P7" i="6"/>
  <c r="O7" i="6"/>
  <c r="M6" i="6"/>
  <c r="O6" i="6"/>
  <c r="P6" i="6"/>
  <c r="M5" i="6"/>
  <c r="P5" i="6"/>
  <c r="O5" i="6"/>
  <c r="M4" i="6"/>
  <c r="O4" i="6"/>
  <c r="P4" i="6"/>
  <c r="M3" i="6"/>
  <c r="P3" i="6"/>
  <c r="M2" i="6"/>
  <c r="O2" i="6"/>
  <c r="S41" i="5"/>
  <c r="M40" i="5"/>
  <c r="P40" i="5"/>
  <c r="O40" i="5"/>
  <c r="M39" i="5"/>
  <c r="P39" i="5"/>
  <c r="O39" i="5"/>
  <c r="O38" i="5"/>
  <c r="M38" i="5"/>
  <c r="P38" i="5"/>
  <c r="M37" i="5"/>
  <c r="P37" i="5"/>
  <c r="O37" i="5"/>
  <c r="O36" i="5"/>
  <c r="M36" i="5"/>
  <c r="P36" i="5"/>
  <c r="M35" i="5"/>
  <c r="P35" i="5"/>
  <c r="O35" i="5"/>
  <c r="O34" i="5"/>
  <c r="M34" i="5"/>
  <c r="P34" i="5"/>
  <c r="O33" i="5"/>
  <c r="M33" i="5"/>
  <c r="P33" i="5"/>
  <c r="M32" i="5"/>
  <c r="P32" i="5"/>
  <c r="O32" i="5"/>
  <c r="M31" i="5"/>
  <c r="P31" i="5"/>
  <c r="O31" i="5"/>
  <c r="O30" i="5"/>
  <c r="M30" i="5"/>
  <c r="P30" i="5"/>
  <c r="M29" i="5"/>
  <c r="P29" i="5"/>
  <c r="O29" i="5"/>
  <c r="O28" i="5"/>
  <c r="M28" i="5"/>
  <c r="P28" i="5"/>
  <c r="M27" i="5"/>
  <c r="P27" i="5"/>
  <c r="O27" i="5"/>
  <c r="M26" i="5"/>
  <c r="P26" i="5"/>
  <c r="O26" i="5"/>
  <c r="O25" i="5"/>
  <c r="M25" i="5"/>
  <c r="P25" i="5"/>
  <c r="M24" i="5"/>
  <c r="P24" i="5"/>
  <c r="O24" i="5"/>
  <c r="M23" i="5"/>
  <c r="P23" i="5"/>
  <c r="O23" i="5"/>
  <c r="O22" i="5"/>
  <c r="M22" i="5"/>
  <c r="P22" i="5"/>
  <c r="M21" i="5"/>
  <c r="P21" i="5"/>
  <c r="O21" i="5"/>
  <c r="O20" i="5"/>
  <c r="M20" i="5"/>
  <c r="P20" i="5"/>
  <c r="M19" i="5"/>
  <c r="P19" i="5"/>
  <c r="O19" i="5"/>
  <c r="M18" i="5"/>
  <c r="P18" i="5"/>
  <c r="O18" i="5"/>
  <c r="O17" i="5"/>
  <c r="M17" i="5"/>
  <c r="P17" i="5"/>
  <c r="M16" i="5"/>
  <c r="P16" i="5"/>
  <c r="O16" i="5"/>
  <c r="M15" i="5"/>
  <c r="P15" i="5"/>
  <c r="O15" i="5"/>
  <c r="O14" i="5"/>
  <c r="M14" i="5"/>
  <c r="P14" i="5"/>
  <c r="M13" i="5"/>
  <c r="P13" i="5"/>
  <c r="O13" i="5"/>
  <c r="M12" i="5"/>
  <c r="O12" i="5"/>
  <c r="P12" i="5"/>
  <c r="M11" i="5"/>
  <c r="P11" i="5"/>
  <c r="O11" i="5"/>
  <c r="M10" i="5"/>
  <c r="P10" i="5"/>
  <c r="O10" i="5"/>
  <c r="M9" i="5"/>
  <c r="O9" i="5"/>
  <c r="P9" i="5"/>
  <c r="M8" i="5"/>
  <c r="P8" i="5"/>
  <c r="M7" i="5"/>
  <c r="P7" i="5"/>
  <c r="M6" i="5"/>
  <c r="O6" i="5"/>
  <c r="P6" i="5"/>
  <c r="M5" i="5"/>
  <c r="P5" i="5"/>
  <c r="O5" i="5"/>
  <c r="M4" i="5"/>
  <c r="P4" i="5"/>
  <c r="O4" i="5"/>
  <c r="M3" i="5"/>
  <c r="O3" i="5"/>
  <c r="P3" i="5"/>
  <c r="S41" i="4"/>
  <c r="M40" i="4"/>
  <c r="P40" i="4"/>
  <c r="O40" i="4"/>
  <c r="M39" i="4"/>
  <c r="P39" i="4"/>
  <c r="O39" i="4"/>
  <c r="O38" i="4"/>
  <c r="M38" i="4"/>
  <c r="P38" i="4"/>
  <c r="M37" i="4"/>
  <c r="P37" i="4"/>
  <c r="O37" i="4"/>
  <c r="O36" i="4"/>
  <c r="M36" i="4"/>
  <c r="P36" i="4"/>
  <c r="O35" i="4"/>
  <c r="M35" i="4"/>
  <c r="P35" i="4"/>
  <c r="O34" i="4"/>
  <c r="M34" i="4"/>
  <c r="P34" i="4"/>
  <c r="O33" i="4"/>
  <c r="M33" i="4"/>
  <c r="P33" i="4"/>
  <c r="M32" i="4"/>
  <c r="P32" i="4"/>
  <c r="O32" i="4"/>
  <c r="M31" i="4"/>
  <c r="P31" i="4"/>
  <c r="O31" i="4"/>
  <c r="O30" i="4"/>
  <c r="M30" i="4"/>
  <c r="P30" i="4"/>
  <c r="M29" i="4"/>
  <c r="P29" i="4"/>
  <c r="O29" i="4"/>
  <c r="O28" i="4"/>
  <c r="M28" i="4"/>
  <c r="P28" i="4"/>
  <c r="O27" i="4"/>
  <c r="M27" i="4"/>
  <c r="P27" i="4"/>
  <c r="O26" i="4"/>
  <c r="M26" i="4"/>
  <c r="P26" i="4"/>
  <c r="O25" i="4"/>
  <c r="M25" i="4"/>
  <c r="P25" i="4"/>
  <c r="M24" i="4"/>
  <c r="P24" i="4"/>
  <c r="O24" i="4"/>
  <c r="M23" i="4"/>
  <c r="P23" i="4"/>
  <c r="O23" i="4"/>
  <c r="O22" i="4"/>
  <c r="M22" i="4"/>
  <c r="P22" i="4"/>
  <c r="M21" i="4"/>
  <c r="P21" i="4"/>
  <c r="O21" i="4"/>
  <c r="O20" i="4"/>
  <c r="M20" i="4"/>
  <c r="P20" i="4"/>
  <c r="O19" i="4"/>
  <c r="M19" i="4"/>
  <c r="P19" i="4"/>
  <c r="O18" i="4"/>
  <c r="M18" i="4"/>
  <c r="P18" i="4"/>
  <c r="M17" i="4"/>
  <c r="O17" i="4"/>
  <c r="P17" i="4"/>
  <c r="M16" i="4"/>
  <c r="P16" i="4"/>
  <c r="O16" i="4"/>
  <c r="M15" i="4"/>
  <c r="P15" i="4"/>
  <c r="O15" i="4"/>
  <c r="M14" i="4"/>
  <c r="O14" i="4"/>
  <c r="P14" i="4"/>
  <c r="M13" i="4"/>
  <c r="P13" i="4"/>
  <c r="O13" i="4"/>
  <c r="O12" i="4"/>
  <c r="M12" i="4"/>
  <c r="P12" i="4"/>
  <c r="M11" i="4"/>
  <c r="O11" i="4"/>
  <c r="P11" i="4"/>
  <c r="M10" i="4"/>
  <c r="O10" i="4"/>
  <c r="P10" i="4"/>
  <c r="M9" i="4"/>
  <c r="O9" i="4"/>
  <c r="P9" i="4"/>
  <c r="M8" i="4"/>
  <c r="P8" i="4"/>
  <c r="O8" i="4"/>
  <c r="M7" i="4"/>
  <c r="P7" i="4"/>
  <c r="O7" i="4"/>
  <c r="M6" i="4"/>
  <c r="O6" i="4"/>
  <c r="P6" i="4"/>
  <c r="M5" i="4"/>
  <c r="P5" i="4"/>
  <c r="O5" i="4"/>
  <c r="M4" i="4"/>
  <c r="O4" i="4"/>
  <c r="P4" i="4"/>
  <c r="M3" i="4"/>
  <c r="O3" i="4"/>
  <c r="P3" i="4"/>
  <c r="M2" i="4"/>
  <c r="O2" i="4"/>
  <c r="P2" i="4"/>
  <c r="S41" i="3"/>
  <c r="M40" i="3"/>
  <c r="P40" i="3"/>
  <c r="O40" i="3"/>
  <c r="O39" i="3"/>
  <c r="M39" i="3"/>
  <c r="P39" i="3"/>
  <c r="O38" i="3"/>
  <c r="M38" i="3"/>
  <c r="P38" i="3"/>
  <c r="M37" i="3"/>
  <c r="P37" i="3"/>
  <c r="O37" i="3"/>
  <c r="O36" i="3"/>
  <c r="M36" i="3"/>
  <c r="P36" i="3"/>
  <c r="M35" i="3"/>
  <c r="P35" i="3"/>
  <c r="O35" i="3"/>
  <c r="O34" i="3"/>
  <c r="M34" i="3"/>
  <c r="P34" i="3"/>
  <c r="O33" i="3"/>
  <c r="M33" i="3"/>
  <c r="P33" i="3"/>
  <c r="M32" i="3"/>
  <c r="P32" i="3"/>
  <c r="O32" i="3"/>
  <c r="O31" i="3"/>
  <c r="M31" i="3"/>
  <c r="P31" i="3"/>
  <c r="O30" i="3"/>
  <c r="M30" i="3"/>
  <c r="P30" i="3"/>
  <c r="M29" i="3"/>
  <c r="O29" i="3"/>
  <c r="P29" i="3"/>
  <c r="M28" i="3"/>
  <c r="O28" i="3"/>
  <c r="P28" i="3"/>
  <c r="M27" i="3"/>
  <c r="P27" i="3"/>
  <c r="O27" i="3"/>
  <c r="M26" i="3"/>
  <c r="O26" i="3"/>
  <c r="P26" i="3"/>
  <c r="M25" i="3"/>
  <c r="O25" i="3"/>
  <c r="P25" i="3"/>
  <c r="M24" i="3"/>
  <c r="P24" i="3"/>
  <c r="O24" i="3"/>
  <c r="M23" i="3"/>
  <c r="O23" i="3"/>
  <c r="P23" i="3"/>
  <c r="M22" i="3"/>
  <c r="O22" i="3"/>
  <c r="P22" i="3"/>
  <c r="M21" i="3"/>
  <c r="O21" i="3"/>
  <c r="P21" i="3"/>
  <c r="M20" i="3"/>
  <c r="O20" i="3"/>
  <c r="P20" i="3"/>
  <c r="M19" i="3"/>
  <c r="P19" i="3"/>
  <c r="O19" i="3"/>
  <c r="M18" i="3"/>
  <c r="O18" i="3"/>
  <c r="P18" i="3"/>
  <c r="O17" i="3"/>
  <c r="M17" i="3"/>
  <c r="P17" i="3"/>
  <c r="M16" i="3"/>
  <c r="P16" i="3"/>
  <c r="O16" i="3"/>
  <c r="O15" i="3"/>
  <c r="M15" i="3"/>
  <c r="P15" i="3"/>
  <c r="M14" i="3"/>
  <c r="O14" i="3"/>
  <c r="P14" i="3"/>
  <c r="M13" i="3"/>
  <c r="O13" i="3"/>
  <c r="P13" i="3"/>
  <c r="M12" i="3"/>
  <c r="O12" i="3"/>
  <c r="P12" i="3"/>
  <c r="M11" i="3"/>
  <c r="P11" i="3"/>
  <c r="O11" i="3"/>
  <c r="M10" i="3"/>
  <c r="O10" i="3"/>
  <c r="P10" i="3"/>
  <c r="M9" i="3"/>
  <c r="O9" i="3"/>
  <c r="P9" i="3"/>
  <c r="M8" i="3"/>
  <c r="P8" i="3"/>
  <c r="O8" i="3"/>
  <c r="M7" i="3"/>
  <c r="O7" i="3"/>
  <c r="P7" i="3"/>
  <c r="M6" i="3"/>
  <c r="O6" i="3"/>
  <c r="P6" i="3"/>
  <c r="M5" i="3"/>
  <c r="O5" i="3"/>
  <c r="P5" i="3"/>
  <c r="S41" i="2"/>
  <c r="M40" i="2"/>
  <c r="P40" i="2"/>
  <c r="O40" i="2"/>
  <c r="O39" i="2"/>
  <c r="M39" i="2"/>
  <c r="P39" i="2"/>
  <c r="O38" i="2"/>
  <c r="M38" i="2"/>
  <c r="P38" i="2"/>
  <c r="M37" i="2"/>
  <c r="P37" i="2"/>
  <c r="O37" i="2"/>
  <c r="M36" i="2"/>
  <c r="P36" i="2"/>
  <c r="O36" i="2"/>
  <c r="O35" i="2"/>
  <c r="M35" i="2"/>
  <c r="P35" i="2"/>
  <c r="O34" i="2"/>
  <c r="M34" i="2"/>
  <c r="P34" i="2"/>
  <c r="M33" i="2"/>
  <c r="P33" i="2"/>
  <c r="O33" i="2"/>
  <c r="M32" i="2"/>
  <c r="P32" i="2"/>
  <c r="O32" i="2"/>
  <c r="O31" i="2"/>
  <c r="M31" i="2"/>
  <c r="P31" i="2"/>
  <c r="O30" i="2"/>
  <c r="M30" i="2"/>
  <c r="P30" i="2"/>
  <c r="M29" i="2"/>
  <c r="P29" i="2"/>
  <c r="O29" i="2"/>
  <c r="M28" i="2"/>
  <c r="P28" i="2"/>
  <c r="O28" i="2"/>
  <c r="O27" i="2"/>
  <c r="M27" i="2"/>
  <c r="P27" i="2"/>
  <c r="O26" i="2"/>
  <c r="M26" i="2"/>
  <c r="P26" i="2"/>
  <c r="M25" i="2"/>
  <c r="P25" i="2"/>
  <c r="O25" i="2"/>
  <c r="M24" i="2"/>
  <c r="P24" i="2"/>
  <c r="O24" i="2"/>
  <c r="O23" i="2"/>
  <c r="M23" i="2"/>
  <c r="P23" i="2"/>
  <c r="O22" i="2"/>
  <c r="M22" i="2"/>
  <c r="P22" i="2"/>
  <c r="M20" i="2"/>
  <c r="P20" i="2"/>
  <c r="O19" i="2"/>
  <c r="P19" i="2"/>
  <c r="O18" i="2"/>
  <c r="M18" i="2"/>
  <c r="P18" i="2"/>
  <c r="M17" i="2"/>
  <c r="P17" i="2"/>
  <c r="O17" i="2"/>
  <c r="M16" i="2"/>
  <c r="P16" i="2"/>
  <c r="O16" i="2"/>
  <c r="M15" i="2"/>
  <c r="O15" i="2"/>
  <c r="P15" i="2"/>
  <c r="M14" i="2"/>
  <c r="O14" i="2"/>
  <c r="P14" i="2"/>
  <c r="M13" i="2"/>
  <c r="P13" i="2"/>
  <c r="O13" i="2"/>
  <c r="M12" i="2"/>
  <c r="P12" i="2"/>
  <c r="O12" i="2"/>
  <c r="M11" i="2"/>
  <c r="O11" i="2"/>
  <c r="P11" i="2"/>
  <c r="M10" i="2"/>
  <c r="O10" i="2"/>
  <c r="P10" i="2"/>
  <c r="M9" i="2"/>
  <c r="P9" i="2"/>
  <c r="O9" i="2"/>
  <c r="M8" i="2"/>
  <c r="P8" i="2"/>
  <c r="O8" i="2"/>
  <c r="M7" i="2"/>
  <c r="O7" i="2"/>
  <c r="P7" i="2"/>
  <c r="M6" i="2"/>
  <c r="O6" i="2"/>
  <c r="P6" i="2"/>
  <c r="M5" i="2"/>
  <c r="P5" i="2"/>
  <c r="O5" i="2"/>
  <c r="M4" i="2"/>
  <c r="P4" i="2"/>
  <c r="O4" i="2"/>
  <c r="M3" i="2"/>
  <c r="O3" i="2"/>
  <c r="P3" i="2"/>
  <c r="M2" i="2"/>
  <c r="O2" i="2"/>
  <c r="P2" i="2"/>
  <c r="S41" i="1"/>
  <c r="M2" i="1"/>
  <c r="O2" i="1"/>
  <c r="P2" i="1"/>
  <c r="M3" i="1"/>
  <c r="M4" i="1"/>
  <c r="P4" i="1"/>
  <c r="M5" i="1"/>
  <c r="M6" i="1"/>
  <c r="M7" i="1"/>
  <c r="M8" i="1"/>
  <c r="P8" i="1"/>
  <c r="M9" i="1"/>
  <c r="P9" i="1"/>
  <c r="M10" i="1"/>
  <c r="M11" i="1"/>
  <c r="M12" i="1"/>
  <c r="M13" i="1"/>
  <c r="M14" i="1"/>
  <c r="M15" i="1"/>
  <c r="M16" i="1"/>
  <c r="P16" i="1"/>
  <c r="M17" i="1"/>
  <c r="P17" i="1"/>
  <c r="M18" i="1"/>
  <c r="P18" i="1"/>
  <c r="M19" i="1"/>
  <c r="M20" i="1"/>
  <c r="M21" i="1"/>
  <c r="M22" i="1"/>
  <c r="M23" i="1"/>
  <c r="P23" i="1"/>
  <c r="M24" i="1"/>
  <c r="P24" i="1"/>
  <c r="M25" i="1"/>
  <c r="M26" i="1"/>
  <c r="M27" i="1"/>
  <c r="M28" i="1"/>
  <c r="P28" i="1"/>
  <c r="M29" i="1"/>
  <c r="M30" i="1"/>
  <c r="M31" i="1"/>
  <c r="M32" i="1"/>
  <c r="M33" i="1"/>
  <c r="P33" i="1"/>
  <c r="M34" i="1"/>
  <c r="P34" i="1"/>
  <c r="M35" i="1"/>
  <c r="M36" i="1"/>
  <c r="P36" i="1"/>
  <c r="M37" i="1"/>
  <c r="M38" i="1"/>
  <c r="M39" i="1"/>
  <c r="M40" i="1"/>
  <c r="P40" i="1"/>
  <c r="P6" i="1"/>
  <c r="P10" i="1"/>
  <c r="P14" i="1"/>
  <c r="P22" i="1"/>
  <c r="P25" i="1"/>
  <c r="P26" i="1"/>
  <c r="P30" i="1"/>
  <c r="P38" i="1"/>
  <c r="O3" i="1"/>
  <c r="O4" i="1"/>
  <c r="O5" i="1"/>
  <c r="O6" i="1"/>
  <c r="O7" i="1"/>
  <c r="O8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P3" i="1"/>
  <c r="P5" i="1"/>
  <c r="P7" i="1"/>
  <c r="P11" i="1"/>
  <c r="P12" i="1"/>
  <c r="P13" i="1"/>
  <c r="P15" i="1"/>
  <c r="P19" i="1"/>
  <c r="P20" i="1"/>
  <c r="P21" i="1"/>
  <c r="P27" i="1"/>
  <c r="P29" i="1"/>
  <c r="P31" i="1"/>
  <c r="P32" i="1"/>
  <c r="P35" i="1"/>
  <c r="P37" i="1"/>
  <c r="P39" i="1"/>
  <c r="O9" i="1"/>
  <c r="O20" i="2"/>
  <c r="O7" i="5"/>
  <c r="P2" i="6"/>
  <c r="O8" i="5"/>
  <c r="O3" i="6"/>
  <c r="O22" i="6"/>
  <c r="O9" i="7"/>
  <c r="P15" i="9"/>
  <c r="P6" i="11"/>
</calcChain>
</file>

<file path=xl/sharedStrings.xml><?xml version="1.0" encoding="utf-8"?>
<sst xmlns="http://schemas.openxmlformats.org/spreadsheetml/2006/main" count="2217" uniqueCount="926">
  <si>
    <t>FECHA</t>
  </si>
  <si>
    <t>DIRECCION</t>
  </si>
  <si>
    <t>NOMBRE CLIENTE</t>
  </si>
  <si>
    <t>TORRE/APTO</t>
  </si>
  <si>
    <t>SERVICIO REALIZADO</t>
  </si>
  <si>
    <t>DOMICILIO</t>
  </si>
  <si>
    <t>VALOR SERVICIO</t>
  </si>
  <si>
    <t>MATERIALES</t>
  </si>
  <si>
    <t>VALOR MATERIALES</t>
  </si>
  <si>
    <t>IVA 19%</t>
  </si>
  <si>
    <t>PORTERIA</t>
  </si>
  <si>
    <t xml:space="preserve">FORMA DE PAGO </t>
  </si>
  <si>
    <t>TOTAL SERVICIO</t>
  </si>
  <si>
    <t>X50%/X25%</t>
  </si>
  <si>
    <t>PARA JG</t>
  </si>
  <si>
    <t>PARA ABRECAR</t>
  </si>
  <si>
    <t>ESTADO DEL SERVICIO</t>
  </si>
  <si>
    <t>FECHA DE RELACION DEL SERVICIO</t>
  </si>
  <si>
    <t xml:space="preserve">NOTAS </t>
  </si>
  <si>
    <t>TRANSFERENCIA</t>
  </si>
  <si>
    <t>YA RELACIONADO</t>
  </si>
  <si>
    <t>X50%</t>
  </si>
  <si>
    <t xml:space="preserve">CRA 19A # 82 - 85 </t>
  </si>
  <si>
    <t>CONSULTIRIO 421</t>
  </si>
  <si>
    <t xml:space="preserve">cambio de esquinero inferior para bisagra de piso </t>
  </si>
  <si>
    <t xml:space="preserve">esquinero inferior y parqueadero </t>
  </si>
  <si>
    <t>EFECTIVO</t>
  </si>
  <si>
    <t xml:space="preserve">JG envia por nequi a JK </t>
  </si>
  <si>
    <t>CANCELADO</t>
  </si>
  <si>
    <t>X25%</t>
  </si>
  <si>
    <t xml:space="preserve">CALLE 23 # 36 - 70 </t>
  </si>
  <si>
    <t>CASA</t>
  </si>
  <si>
    <t xml:space="preserve">apertura </t>
  </si>
  <si>
    <t>COTIZACIÓN</t>
  </si>
  <si>
    <t xml:space="preserve">CRA 12A # 29 SUR </t>
  </si>
  <si>
    <t>NO PAGARON DOMICILIO</t>
  </si>
  <si>
    <t xml:space="preserve">CRA 68B # 74A - 75 </t>
  </si>
  <si>
    <t>U-29 APTO 101</t>
  </si>
  <si>
    <t xml:space="preserve">mantenimiento de cerradura </t>
  </si>
  <si>
    <t>NO SE COBRA DOMICILIO</t>
  </si>
  <si>
    <t xml:space="preserve">CALLE 2213 # 114 - 10 </t>
  </si>
  <si>
    <t xml:space="preserve">Sandra Castañeda </t>
  </si>
  <si>
    <t>M-13 CASA - 19</t>
  </si>
  <si>
    <t xml:space="preserve">programación de controles motor lifmaster </t>
  </si>
  <si>
    <t xml:space="preserve">jk lo pago por diviplata </t>
  </si>
  <si>
    <t>GARANTIA</t>
  </si>
  <si>
    <t>CALLE 47B SUR # 23A - 70</t>
  </si>
  <si>
    <t xml:space="preserve">Luisa Fernanda Gómez </t>
  </si>
  <si>
    <t>B- 13 APTO - 330</t>
  </si>
  <si>
    <t xml:space="preserve">revision puerta vehicular </t>
  </si>
  <si>
    <t>PENDIENTE COBRAR</t>
  </si>
  <si>
    <t>CRA 77 # 76 - 74</t>
  </si>
  <si>
    <t>Blanca Monroy</t>
  </si>
  <si>
    <t>BODEGA</t>
  </si>
  <si>
    <t xml:space="preserve">cambio de guardas con 2 copias adicionales </t>
  </si>
  <si>
    <t>CALLE 127 # 7 - 70</t>
  </si>
  <si>
    <t xml:space="preserve">EDIFICIO EURODENT - Edwin Yesid Ortis </t>
  </si>
  <si>
    <t xml:space="preserve">EDIFICIO </t>
  </si>
  <si>
    <t>suministro de fuente generica de 12v y puesta en funcionamiento de lectora youhee</t>
  </si>
  <si>
    <t xml:space="preserve">fuente 12v </t>
  </si>
  <si>
    <t>JK pago 80000 por neki y quedo pendiente el saldo de 10000 pago fuente a jg</t>
  </si>
  <si>
    <t xml:space="preserve">CALLE 76A # 86 - 17 </t>
  </si>
  <si>
    <t xml:space="preserve">Vanessa </t>
  </si>
  <si>
    <t xml:space="preserve">TORRE -1 - 303 </t>
  </si>
  <si>
    <t xml:space="preserve">cambio de guardas </t>
  </si>
  <si>
    <t>CRA 61BIS # 99 - 72</t>
  </si>
  <si>
    <t xml:space="preserve">ULA </t>
  </si>
  <si>
    <t>ajuste de brazo mecanico accesmatic con JK</t>
  </si>
  <si>
    <t xml:space="preserve">jk lo pago en efectivo </t>
  </si>
  <si>
    <t>CALLE 24D # 40 - 29</t>
  </si>
  <si>
    <t>Samuel Piñeros - Olga Moreno</t>
  </si>
  <si>
    <t xml:space="preserve">visita para verificar puntos de instalación electroimán </t>
  </si>
  <si>
    <t xml:space="preserve">CRA 47A # 96 - 41 </t>
  </si>
  <si>
    <t xml:space="preserve">BREAK PARK - Adelaida - Alejandro </t>
  </si>
  <si>
    <t xml:space="preserve">revision electroiman </t>
  </si>
  <si>
    <t>CRA 113 # 83 A - 42</t>
  </si>
  <si>
    <t xml:space="preserve">Miguel Morales </t>
  </si>
  <si>
    <t>TORRE 7 - 203</t>
  </si>
  <si>
    <t xml:space="preserve">instalación de cerradura de seguridad </t>
  </si>
  <si>
    <t>JK pago en efectivo en el local a jg</t>
  </si>
  <si>
    <t>CRA 14A # 83 - 56</t>
  </si>
  <si>
    <t>Ferley Trujillo</t>
  </si>
  <si>
    <t>BAR</t>
  </si>
  <si>
    <t xml:space="preserve">revisión de 2 motores eléctricos </t>
  </si>
  <si>
    <t xml:space="preserve">CALLE 58 # 35A - 42 </t>
  </si>
  <si>
    <t xml:space="preserve">Nathalia </t>
  </si>
  <si>
    <t>CRA 32A # 19 - 15</t>
  </si>
  <si>
    <t xml:space="preserve">Luis Ramirez </t>
  </si>
  <si>
    <t xml:space="preserve">PARROQUIA </t>
  </si>
  <si>
    <t>revisión brazos PPA</t>
  </si>
  <si>
    <t xml:space="preserve">CRA 69BIS # 3A - 49 </t>
  </si>
  <si>
    <t>Magdalena Fisgativa</t>
  </si>
  <si>
    <t xml:space="preserve">CASA </t>
  </si>
  <si>
    <t xml:space="preserve">revisión chapa electronica yale </t>
  </si>
  <si>
    <t xml:space="preserve">JK envio pago por nequi </t>
  </si>
  <si>
    <t xml:space="preserve">FAES FARMA </t>
  </si>
  <si>
    <t>PISO 36</t>
  </si>
  <si>
    <t xml:space="preserve">desmonte de puerta en vidrio y cambio de tornillo de base en bronce con Omar </t>
  </si>
  <si>
    <t xml:space="preserve">jk pago desde Bancolombia </t>
  </si>
  <si>
    <t xml:space="preserve">SUBACHOQUE - FINCA </t>
  </si>
  <si>
    <t xml:space="preserve">FINCA </t>
  </si>
  <si>
    <t xml:space="preserve">garantia brazos electromecanicos y programación de control remoto </t>
  </si>
  <si>
    <t xml:space="preserve">CRA 116B # 77 - 67 </t>
  </si>
  <si>
    <t>Jhoana Buitrago</t>
  </si>
  <si>
    <t xml:space="preserve">TORRE 5 - 403 </t>
  </si>
  <si>
    <t>ya habia otro cerrajero que habrio la puerta y el cliente no contesto para pagar el domicilio</t>
  </si>
  <si>
    <t xml:space="preserve">CRA 23 # 4A - 13 </t>
  </si>
  <si>
    <t xml:space="preserve">ADMINISTRACIÓN </t>
  </si>
  <si>
    <t xml:space="preserve">revision para cotización arreglo puerta vehicular y mantenimiento preventivo </t>
  </si>
  <si>
    <t>CALLE 129 # 56C - 34</t>
  </si>
  <si>
    <t xml:space="preserve">CASA IBAÑEZ </t>
  </si>
  <si>
    <t xml:space="preserve">EMPRESA </t>
  </si>
  <si>
    <t xml:space="preserve">visita para verificar reunicacion de camaras </t>
  </si>
  <si>
    <t>CRA 22A # 151 - 60</t>
  </si>
  <si>
    <t>Pamela</t>
  </si>
  <si>
    <t xml:space="preserve">extracción de llave chapa de seguridad </t>
  </si>
  <si>
    <t>CRA 70B # 24D - 22</t>
  </si>
  <si>
    <t xml:space="preserve">Francisco Medina </t>
  </si>
  <si>
    <t xml:space="preserve">TORRE -4 - 1101 </t>
  </si>
  <si>
    <t>Total</t>
  </si>
  <si>
    <t>CALLE 55 # 37A - 45</t>
  </si>
  <si>
    <t>Nancy Prada</t>
  </si>
  <si>
    <t xml:space="preserve">reprogramación de motor de cadena elite </t>
  </si>
  <si>
    <t xml:space="preserve">s relaciono con jk en el local pra arreglo de moto </t>
  </si>
  <si>
    <t xml:space="preserve">CRA 7C # 153 - 38 </t>
  </si>
  <si>
    <t>EDIFICIO DELBY</t>
  </si>
  <si>
    <t>visita para verificacion de instalación baterias para brazo electromecanico y instructivo de puesta en modo manual el brazo en caso de falta de tension eléctrica</t>
  </si>
  <si>
    <t xml:space="preserve">jk pago con vueltas del servicio de edificio delby </t>
  </si>
  <si>
    <t>CRA 75 # 24D - 57</t>
  </si>
  <si>
    <t xml:space="preserve">ORGANIZACIÓN CARDENAS - Mary Luz Rodríguez </t>
  </si>
  <si>
    <t xml:space="preserve">revisión puerta de vidrio </t>
  </si>
  <si>
    <t xml:space="preserve">CRA 72 # 127D - 75 </t>
  </si>
  <si>
    <t xml:space="preserve">COLINAGRO SEDE NORTE </t>
  </si>
  <si>
    <t xml:space="preserve">ajuste de 2 puertas de madera </t>
  </si>
  <si>
    <t xml:space="preserve">CALLE 17 # 124 - 81 </t>
  </si>
  <si>
    <t xml:space="preserve">Nelson Cardenas </t>
  </si>
  <si>
    <t>apertura camioneta sanyong</t>
  </si>
  <si>
    <t xml:space="preserve"> CALLE 24D # 40 - 29</t>
  </si>
  <si>
    <t xml:space="preserve">CORPORACIÓN PARA LA INFANCIA Y DESARROLLO - Samuel Piñeros - Olga Moreno </t>
  </si>
  <si>
    <t xml:space="preserve">suministro e instalación de electroimán de 350lbs, brazo hidraulico y control remoto con receptora </t>
  </si>
  <si>
    <t xml:space="preserve">electroiman 350lbs, soporte en ZL, brazo hidraulico, fuente swichada 12v 5a, receptor inalmabrico y 2 controles adicionales, caja plastica de 20x20, 6 mts de cable duplex, 4 canaletas, caja plastica de sobreponer, boton tipo timbre, 3 clavijas  </t>
  </si>
  <si>
    <t xml:space="preserve">suministro e instalación de bisagra de piso y bronce para bisagra con Omar </t>
  </si>
  <si>
    <t xml:space="preserve">bisagra de piso, base en bronce y guantes de caucho  </t>
  </si>
  <si>
    <t xml:space="preserve">jk hizo el pago desde la cuenta de Bancolombia </t>
  </si>
  <si>
    <t xml:space="preserve">CALLE 129 # 56C - 34 </t>
  </si>
  <si>
    <t xml:space="preserve">CASA IBÁÑEZ </t>
  </si>
  <si>
    <t xml:space="preserve">revisión lectoras de tarjetas </t>
  </si>
  <si>
    <t xml:space="preserve">se cruza con el servicio de la cra 73c # 3 - 39 que se pago en efectivo realizado el 27 de febrero de 2025 </t>
  </si>
  <si>
    <t xml:space="preserve">CRA 8F # 165 - 45 </t>
  </si>
  <si>
    <t xml:space="preserve">Jose Danel Rodríguez </t>
  </si>
  <si>
    <t xml:space="preserve">instalación de bisagra de piso con Omar </t>
  </si>
  <si>
    <t>bisagra de piso y esquinero</t>
  </si>
  <si>
    <t xml:space="preserve">jk pago desde daviplata </t>
  </si>
  <si>
    <t>CALLE 61 # 28A - 11</t>
  </si>
  <si>
    <t xml:space="preserve">GRUPO FENIX - Braheam Castro Herrera </t>
  </si>
  <si>
    <t xml:space="preserve">revision puertas de entrada vehicular </t>
  </si>
  <si>
    <t>CRA 11 # 84 - 09</t>
  </si>
  <si>
    <t>AMADEUS</t>
  </si>
  <si>
    <t xml:space="preserve">6 PISO </t>
  </si>
  <si>
    <t xml:space="preserve">suministro e instalación de 2 juegos de manijas de lujo </t>
  </si>
  <si>
    <t xml:space="preserve">2 manijas de lujo y parqueadero </t>
  </si>
  <si>
    <t xml:space="preserve">jk pago desde cuenta Bancolombia </t>
  </si>
  <si>
    <t>CRA 12A # 79 - 08</t>
  </si>
  <si>
    <t>CRM CONSULTING SERVICES - Yudi Aguilar</t>
  </si>
  <si>
    <t>4 PISO</t>
  </si>
  <si>
    <t xml:space="preserve">se cruza con servicio de la cra 73c # 3 - 39 que pqgaron en efectivo </t>
  </si>
  <si>
    <t>CRA 71D # 50 - 24</t>
  </si>
  <si>
    <t>Cristian Camilo Beltran</t>
  </si>
  <si>
    <t xml:space="preserve"> instalación de puerta en vidrio y cambio de monedas en acero con Omar</t>
  </si>
  <si>
    <t xml:space="preserve">materiales los compro Omar </t>
  </si>
  <si>
    <t xml:space="preserve">CALLE 105 # 68A - 67 </t>
  </si>
  <si>
    <t xml:space="preserve">revisión controles inalambricos de  motor chamberlain </t>
  </si>
  <si>
    <t>CALLE 22 # 43A - 48</t>
  </si>
  <si>
    <t xml:space="preserve">HOTEL RIVIERA DELUXE - Daniel Riviera </t>
  </si>
  <si>
    <t xml:space="preserve">HOTEL </t>
  </si>
  <si>
    <t xml:space="preserve">mantenimiento de 3 motores corredizos chamberlain </t>
  </si>
  <si>
    <t xml:space="preserve">jk pago desde bancolombia </t>
  </si>
  <si>
    <t>CRA 73C # 3 - 39</t>
  </si>
  <si>
    <t>ajuste de motor levadizo raptor 1200 y reprogramación de motor levadizo shark 1000</t>
  </si>
  <si>
    <t xml:space="preserve">el 50% que le correspondia a jk lo uso para pagar servicios pendientes a jg </t>
  </si>
  <si>
    <t xml:space="preserve">CALLE 44B # 50 - 29 </t>
  </si>
  <si>
    <t>revision motor de puerta levadiza acces matic shark 1000</t>
  </si>
  <si>
    <t>CALLE 71 # 14 - 44</t>
  </si>
  <si>
    <t xml:space="preserve">EDIFICIO LIFE 72 </t>
  </si>
  <si>
    <t xml:space="preserve">CALLE 23 # 116 - 31 </t>
  </si>
  <si>
    <t>Angela</t>
  </si>
  <si>
    <t xml:space="preserve">CALLE 86A # 13 - 42 </t>
  </si>
  <si>
    <t xml:space="preserve">Mario Rojas </t>
  </si>
  <si>
    <t xml:space="preserve">suministro e instalación de unidad de controles y un control adicional </t>
  </si>
  <si>
    <t xml:space="preserve">unidad de controles, fuente de 12v 1a y control adicional </t>
  </si>
  <si>
    <t>CALLE 73C # 3 - 39</t>
  </si>
  <si>
    <t xml:space="preserve">suministro e instalación de guaya y ajuste de puerta levadiza </t>
  </si>
  <si>
    <t xml:space="preserve">guaya y lubricante </t>
  </si>
  <si>
    <t>jk pago desde cuenta bancolombia</t>
  </si>
  <si>
    <t>CALLE 72A # 5 - 83</t>
  </si>
  <si>
    <t>EDIFICIO CHILE - Tatiana</t>
  </si>
  <si>
    <t xml:space="preserve">administración </t>
  </si>
  <si>
    <t xml:space="preserve">cotizacion brazo hidráulico parqueadero </t>
  </si>
  <si>
    <t>CRA 70D # 116A - 24</t>
  </si>
  <si>
    <t xml:space="preserve">revisión puerta electrica con motor merik </t>
  </si>
  <si>
    <t>CALLE 127A # 7 - 53</t>
  </si>
  <si>
    <t>INO COLOMBIA - Jorge Carrasquilla</t>
  </si>
  <si>
    <t>PISO 5</t>
  </si>
  <si>
    <t xml:space="preserve">revisión puerta automática sala 3 de cirugia </t>
  </si>
  <si>
    <t>CALLE 116 # 15B - 08</t>
  </si>
  <si>
    <t xml:space="preserve">instalación de electroiman y fotoceldas y ajuste de puerta entrada vehicular con jk </t>
  </si>
  <si>
    <t xml:space="preserve">jk hizo transferencia por nequi </t>
  </si>
  <si>
    <t xml:space="preserve">CRA 65 </t>
  </si>
  <si>
    <t xml:space="preserve">Juan Carlos </t>
  </si>
  <si>
    <t xml:space="preserve">ajuste de pierta corresiza </t>
  </si>
  <si>
    <t>jk pago por nequi</t>
  </si>
  <si>
    <t xml:space="preserve">CRA 21 # 98 - 71 </t>
  </si>
  <si>
    <t xml:space="preserve">edificio </t>
  </si>
  <si>
    <t xml:space="preserve">revisiónpuerta giratoria automática </t>
  </si>
  <si>
    <t>CALLE 162 # 76 - 99</t>
  </si>
  <si>
    <t xml:space="preserve">Jose Leonidas </t>
  </si>
  <si>
    <t>revision puerta levadiza</t>
  </si>
  <si>
    <t>CRA 29B # 78 - 71</t>
  </si>
  <si>
    <t>HDI SEGUROS - Luz Rios</t>
  </si>
  <si>
    <t>EMPRESA</t>
  </si>
  <si>
    <t xml:space="preserve">ajuste electroiman </t>
  </si>
  <si>
    <t>AV AMERICAS # 69C - 84</t>
  </si>
  <si>
    <t>IDIME - Jaime</t>
  </si>
  <si>
    <t>SEDE MEDICA</t>
  </si>
  <si>
    <t>revisión puerta corrediza con motor ppa</t>
  </si>
  <si>
    <t xml:space="preserve">CALLE 26 # 43 - 81 </t>
  </si>
  <si>
    <t xml:space="preserve">Carlos Gonzales </t>
  </si>
  <si>
    <t>cotización para instalación de electroiman para puerta entrada vehicular</t>
  </si>
  <si>
    <t xml:space="preserve">CRA 27B # 68 - 52 </t>
  </si>
  <si>
    <t>Catalina Roa</t>
  </si>
  <si>
    <t>revision puerta entrada</t>
  </si>
  <si>
    <t xml:space="preserve">era para un trabajo de ornamentacion que realizo jk el 19 de marzo de 2025 </t>
  </si>
  <si>
    <t>CRA 23 # 4A - 13</t>
  </si>
  <si>
    <t xml:space="preserve">luisa García Castañeda </t>
  </si>
  <si>
    <t xml:space="preserve">visita tecnica para revisión controles inalámbricos y reja electrica </t>
  </si>
  <si>
    <t xml:space="preserve">CALLE 108A # 1 - 70 ESTE </t>
  </si>
  <si>
    <t xml:space="preserve">Juan Pablo </t>
  </si>
  <si>
    <t>revisión de 2 puertas vehiculares levadizas</t>
  </si>
  <si>
    <t>CALLE 44 # 59 - 98</t>
  </si>
  <si>
    <t xml:space="preserve">Alejandra Pinzón </t>
  </si>
  <si>
    <t xml:space="preserve">RESTAURANTE </t>
  </si>
  <si>
    <t xml:space="preserve">revisión cabezal automático </t>
  </si>
  <si>
    <t>CRA 15 # 124 - 30</t>
  </si>
  <si>
    <t xml:space="preserve">SUPER WOW - Valentina </t>
  </si>
  <si>
    <t>LOCAL - 2-118</t>
  </si>
  <si>
    <t>cambio de sentido puerta en vidrio corrediza y panel con Omar</t>
  </si>
  <si>
    <t xml:space="preserve">el zocalo inferior no se pudo soltar hay que romperlo e instalar uno nuevo se envia nueva cotización a espera de autorización </t>
  </si>
  <si>
    <t xml:space="preserve">suministro e instalación de electroiman para ouerta entrada vehicular </t>
  </si>
  <si>
    <t xml:space="preserve">caja palstica, fuente swichada, electroimán de 600lbs, relevo 24v ac, base para relevo cableado chazos y tornillos </t>
  </si>
  <si>
    <t>jk pago por daviplata</t>
  </si>
  <si>
    <t xml:space="preserve">CALLE 113 # 7 - 45 </t>
  </si>
  <si>
    <t xml:space="preserve">Carlos Montoya </t>
  </si>
  <si>
    <t>PISO 11 TORRE B</t>
  </si>
  <si>
    <t xml:space="preserve">ajuste mantenimiento y cambio de base inferior para bisagra de piso speeddy m 25 con Omar </t>
  </si>
  <si>
    <t xml:space="preserve">CRA 9A # 113 - 50 </t>
  </si>
  <si>
    <t xml:space="preserve">revisión reja entrada vehicular </t>
  </si>
  <si>
    <t xml:space="preserve">CALLE 16A # 2 - 16 </t>
  </si>
  <si>
    <t xml:space="preserve">Isaac Beltrán Bolivar </t>
  </si>
  <si>
    <t>revision puerta de entrada parqueadero</t>
  </si>
  <si>
    <t>CRA 50 # 166 - 75</t>
  </si>
  <si>
    <t xml:space="preserve">Carmela Hernández </t>
  </si>
  <si>
    <t>COLEGIO</t>
  </si>
  <si>
    <t>revisión para instalación de tarjeta electrónica de brazo amatic</t>
  </si>
  <si>
    <t xml:space="preserve">mantenimiento preventivo cabezal automatico entrada principal </t>
  </si>
  <si>
    <t xml:space="preserve">CRA 17 # 53 - 17 </t>
  </si>
  <si>
    <t xml:space="preserve">SMART VISION SAS - Antonio Giraldo </t>
  </si>
  <si>
    <t>HACIENDA SINDAMANOY</t>
  </si>
  <si>
    <t>Juan</t>
  </si>
  <si>
    <t>H2-1</t>
  </si>
  <si>
    <t>instalación de kit de brazos electromecánicos accesmatic con jk</t>
  </si>
  <si>
    <t>JK envio los uktimos $ 70.000 que gaktaban por daviplata a JG</t>
  </si>
  <si>
    <t>FORMA DE PAGO</t>
  </si>
  <si>
    <t xml:space="preserve">base en bronce y pivote de piso </t>
  </si>
  <si>
    <t>CRA 12 # 127B - 71</t>
  </si>
  <si>
    <t xml:space="preserve">Martha </t>
  </si>
  <si>
    <t>apertura</t>
  </si>
  <si>
    <t>jg hace transferencia al nequi de jk</t>
  </si>
  <si>
    <t>calle 44 b # 50 - 49</t>
  </si>
  <si>
    <t>Hernán Lemus</t>
  </si>
  <si>
    <t>suministro e instalación de unidad receptora con dos controles para motor corredizo</t>
  </si>
  <si>
    <t>unidad receptora y un control adicional</t>
  </si>
  <si>
    <t xml:space="preserve">CALLE 31BIS SUR # 26D - 36 </t>
  </si>
  <si>
    <t xml:space="preserve">cotización mantenimiento puertas vehiculares y peatonales </t>
  </si>
  <si>
    <t xml:space="preserve">la parte de abrecar jk la da como abono al faltante de pago del trabajo realizado en sindamanoy </t>
  </si>
  <si>
    <t>CALLE 71 # 28A - 11</t>
  </si>
  <si>
    <t xml:space="preserve">Braheam Castro Herrera </t>
  </si>
  <si>
    <t xml:space="preserve">revisión motores entrada vehicular y control remoto </t>
  </si>
  <si>
    <t>jk hizo tranferencia por nequi</t>
  </si>
  <si>
    <t xml:space="preserve">CALLE 28SUR # 4 - 14 ESTE </t>
  </si>
  <si>
    <t>William Fonseca</t>
  </si>
  <si>
    <t xml:space="preserve">apertura camioneta kia </t>
  </si>
  <si>
    <t>Alvaro</t>
  </si>
  <si>
    <t xml:space="preserve">garantía de ajuste de puerta levadiza </t>
  </si>
  <si>
    <t xml:space="preserve">se inicio el lunes y se termino el martes con Omar que ayudo para la puesta del resorte esta pendiente el cobro </t>
  </si>
  <si>
    <t>CALLE 129 # 59C - 06</t>
  </si>
  <si>
    <t>Jorge Lemus</t>
  </si>
  <si>
    <t xml:space="preserve">cotización mantenimiento puertas vehiculares </t>
  </si>
  <si>
    <t>CRA 52A # 123 - 76</t>
  </si>
  <si>
    <t xml:space="preserve">revision brazo electromecanico ditec </t>
  </si>
  <si>
    <t xml:space="preserve">CRA 7 # 155C - 20 </t>
  </si>
  <si>
    <t>FAES FARMA - PISO 36</t>
  </si>
  <si>
    <t>mentenimientos preventivos de puertas de vidrio con Omar</t>
  </si>
  <si>
    <t xml:space="preserve">jk hace transferencia desde nequi a nequi de jg </t>
  </si>
  <si>
    <t>CRA 15 # 93B - 43</t>
  </si>
  <si>
    <t>COOMEVA - Juan Sebastian Nova- Juan Pablo</t>
  </si>
  <si>
    <t>centro de salud</t>
  </si>
  <si>
    <t xml:space="preserve">revision brazos electromecánicos entrada vehicular </t>
  </si>
  <si>
    <t xml:space="preserve">CALLE 6 # 14 - 49 SUR </t>
  </si>
  <si>
    <t xml:space="preserve">FUNDACIÓN SAN ANTONIO </t>
  </si>
  <si>
    <t xml:space="preserve">revisión brazo electromecánico bft entrada vehicular </t>
  </si>
  <si>
    <t>Del servicio de la cra 20 # 142 - 48 se gastaron $ 50.000 para platina, lata de pintura en spray, tornilleria, chasos y lija el dinero lo tomo Juan Gabriel de estos servicios en efectivo y ya se descontaron del pago de este mismo servicio el cual le corresponde a juan Gbriel $ 215.000 dejando un excedente de relacion de $ 61.000 a favor de ABRECAR jg lo envia por nequi a jk</t>
  </si>
  <si>
    <t>CALLE 117A # 10 - 07</t>
  </si>
  <si>
    <t xml:space="preserve">instalación de cerradura digital </t>
  </si>
  <si>
    <t>CARRERA 20 # 142 - 48</t>
  </si>
  <si>
    <t xml:space="preserve">EDIFICIO ATRIIUM 142- Mauricio </t>
  </si>
  <si>
    <t xml:space="preserve">instalación de platina para electroiman </t>
  </si>
  <si>
    <t>platina chazoz tornillos y pintura</t>
  </si>
  <si>
    <t xml:space="preserve">CALLE 72 ABIS - 1 - 82 ESTE </t>
  </si>
  <si>
    <t>5 cambiois de guardas</t>
  </si>
  <si>
    <t xml:space="preserve">de este servicio se sacaron $ 112.000 de la parte de abrecar para compra de unidad receptora y control adicional para conjunto de cra 23 # 4a - 13 y el sobrante se cruzo para pago del mismo </t>
  </si>
  <si>
    <t xml:space="preserve">CONJUNTO ALTA VISTA </t>
  </si>
  <si>
    <t xml:space="preserve">instalación de unidad receptora con control adicional para apertura de puerta vehicular </t>
  </si>
  <si>
    <t xml:space="preserve">inidad de controles y control adicional </t>
  </si>
  <si>
    <t xml:space="preserve">jk hizo transferencia de $ 146.400 por cuenta de Bancolombia y exedente de $ 28.000 con servcio de vuelta del cerro </t>
  </si>
  <si>
    <t>CRA 83A # 75 - 50</t>
  </si>
  <si>
    <t>Claudia Xiana</t>
  </si>
  <si>
    <t>ADMINISTRACION</t>
  </si>
  <si>
    <t>cambio de chumacera puerta entrada vehicular con Omar</t>
  </si>
  <si>
    <t>chumacera toallas de papel y lubricante</t>
  </si>
  <si>
    <t>jk hizo un adelanto por daviplata de $ 35.000 el 19 de mayo de 2025 y $ 100.000 por nequi el 22 de mayo de 2025</t>
  </si>
  <si>
    <t xml:space="preserve">CALLE 50 # 9 - 67 </t>
  </si>
  <si>
    <t>apertura subaru</t>
  </si>
  <si>
    <t xml:space="preserve">parqueadero </t>
  </si>
  <si>
    <t>CRA 13A # 98 - 75</t>
  </si>
  <si>
    <t xml:space="preserve">EASY SOLITION - Cristian </t>
  </si>
  <si>
    <t>PISO 6</t>
  </si>
  <si>
    <t xml:space="preserve">revisión cerradura de manuja yale </t>
  </si>
  <si>
    <t>CALLE 121 # 70G - 89</t>
  </si>
  <si>
    <t xml:space="preserve">Jaime Titan Gómez </t>
  </si>
  <si>
    <t>revisión motor corredizo beninca</t>
  </si>
  <si>
    <t xml:space="preserve">CRA 44B # 22 - 70 </t>
  </si>
  <si>
    <t>EDIFICIO ESTIBALIZ</t>
  </si>
  <si>
    <t xml:space="preserve">ajuste y soldada de sopoortes de brazo acces Matic 250 </t>
  </si>
  <si>
    <t xml:space="preserve">jg envia por nequi a jk </t>
  </si>
  <si>
    <t>CALLE 97 # 70C - 95</t>
  </si>
  <si>
    <t>CONJUNTO RESIDENCIAL PORTAL DE PONTEVEDRA V</t>
  </si>
  <si>
    <t xml:space="preserve">suministro e instalación de fotoceldas para talanquera </t>
  </si>
  <si>
    <t xml:space="preserve">fotoceldas </t>
  </si>
  <si>
    <t xml:space="preserve">jk hizo el pago por daviplata </t>
  </si>
  <si>
    <t xml:space="preserve">CRA 15 # 93B - 43 </t>
  </si>
  <si>
    <t xml:space="preserve">UNIDAD DE SERVICIOS COMPARTIDOS DE COOMEVA </t>
  </si>
  <si>
    <t xml:space="preserve">mantenimiento preventivo de 2 brazos electromecanicos y puertas entrada vehicular </t>
  </si>
  <si>
    <t>CALLE 71B # 28 - 36</t>
  </si>
  <si>
    <t>SIGN PRODUCTS - Santiago Riaño</t>
  </si>
  <si>
    <t xml:space="preserve">revisión puerta vehicular con motor levadizo </t>
  </si>
  <si>
    <t xml:space="preserve">CENTRO EMPRESARIAL CELTA </t>
  </si>
  <si>
    <t>VINI COLORS</t>
  </si>
  <si>
    <t>cambio de bisagra de piso silicondo de zocalo inferior e instalación de boton tipo timbre y no touch para apertura electroiman con Omar</t>
  </si>
  <si>
    <t xml:space="preserve">bisagra de piso m25 y bases para puerta de vidrio boton no touch caja plastica canaletas y cable </t>
  </si>
  <si>
    <t xml:space="preserve">jk hizo la transferencia por nequi </t>
  </si>
  <si>
    <t>CRA 78C # 41A - 05 SUR</t>
  </si>
  <si>
    <t>AGRUPACION TONOLI 3</t>
  </si>
  <si>
    <t>suministro en instalación de bisagra de piso m25 cambio de base superior e inferior en bronce y pivote aereo con Omar</t>
  </si>
  <si>
    <t xml:space="preserve">bisagra de piso, base en bronce superior e inferior y pivote aereo </t>
  </si>
  <si>
    <t xml:space="preserve">JK hizo la transferencia de nequi </t>
  </si>
  <si>
    <t>CRA 95 # 72A - 95</t>
  </si>
  <si>
    <t xml:space="preserve">SANTA ROSITA </t>
  </si>
  <si>
    <t xml:space="preserve">mantenimiento de brazo electromecanico blue entrada vehicular </t>
  </si>
  <si>
    <t xml:space="preserve">jk hizo el pago por nequi </t>
  </si>
  <si>
    <t xml:space="preserve">CALLE 179 # 76 - 80 </t>
  </si>
  <si>
    <t xml:space="preserve">Sebastian Martinez </t>
  </si>
  <si>
    <t xml:space="preserve">revisión botones entradas peatonal y vehicular </t>
  </si>
  <si>
    <t>JG hizo la transeferencia al nequi de JK</t>
  </si>
  <si>
    <t xml:space="preserve">garantía de instalación bisagra de piso </t>
  </si>
  <si>
    <t>CALLE 23G # 82 - 33</t>
  </si>
  <si>
    <t>Jenny Pulido</t>
  </si>
  <si>
    <t>revision brazos electromecánicos DITEC</t>
  </si>
  <si>
    <t xml:space="preserve">CRA 68 # 175 - 40 </t>
  </si>
  <si>
    <t>Andrea Pombo</t>
  </si>
  <si>
    <t>CASA 3</t>
  </si>
  <si>
    <t xml:space="preserve">3 cambios de guardas </t>
  </si>
  <si>
    <t>CRA 81B # 10F - 11</t>
  </si>
  <si>
    <t xml:space="preserve">Ángeles Espinoza </t>
  </si>
  <si>
    <t xml:space="preserve">aperura </t>
  </si>
  <si>
    <t>jg hizo transferencia desde nequi al nequi de jk</t>
  </si>
  <si>
    <t>SEGURIDAD FENIX</t>
  </si>
  <si>
    <t xml:space="preserve">ajuste de motor corredizo </t>
  </si>
  <si>
    <t xml:space="preserve">Jenny Pulido </t>
  </si>
  <si>
    <t>instalación de kit de brazos electromecanicos 250 con JK</t>
  </si>
  <si>
    <t>jk dio $ 450.000 por nequi el 7 de junio y habia adelnatado $ 50.000 por nequi el 4 de junio de 2025</t>
  </si>
  <si>
    <t xml:space="preserve">CONDOMINIO CANDIL DE LORETO CAJICA </t>
  </si>
  <si>
    <t xml:space="preserve">Clara Guerrero </t>
  </si>
  <si>
    <t>CASA 4B</t>
  </si>
  <si>
    <t>revision brazos electromecánicos acces matic 250</t>
  </si>
  <si>
    <t>JG hizo transferencia desde daviplata al daviplata de jk</t>
  </si>
  <si>
    <t xml:space="preserve">NOU CENTRO EMPRESARIAL CAJICA </t>
  </si>
  <si>
    <t>TORRE 3 OF 319</t>
  </si>
  <si>
    <t xml:space="preserve">2 cambios de guardas </t>
  </si>
  <si>
    <t>mantenimiento preventivo de puerta levadiza con motor y cambio de bisagras y rodamientos de teflón con JK</t>
  </si>
  <si>
    <t>jk hizo la transferencia desde la cuenta de bancolombia al nequi de JG</t>
  </si>
  <si>
    <t>CRA 3A # 30C - 18</t>
  </si>
  <si>
    <t xml:space="preserve">Jose Cabanzo </t>
  </si>
  <si>
    <t xml:space="preserve">revisión lector de tarjetas electroimán </t>
  </si>
  <si>
    <t>el servicio se cruza con el de la calle 18 # 3 -18 que se pago en efectivo y se deja para jg en total ya que de este le corresponde $ 25.000 y este lo pagaron por transferencia y le queda el total a ABRECAR</t>
  </si>
  <si>
    <t xml:space="preserve">CALLE 18 # 3 - 18 </t>
  </si>
  <si>
    <t xml:space="preserve">Juan José Mejia </t>
  </si>
  <si>
    <t xml:space="preserve">el servicio se cruza con el de la cra 3a # 30c - 18 ya que de ese le correspnde $ 25.000 a jg y se lo pagaron por transferencia a ABRECAR y le queda el total </t>
  </si>
  <si>
    <t>CALLE 179 # 76 - 80</t>
  </si>
  <si>
    <t xml:space="preserve">Sebastián Martinez </t>
  </si>
  <si>
    <t>CASA BAIRAGUI</t>
  </si>
  <si>
    <t xml:space="preserve">suministro en instalación de fuente regulad 12v 5a caja metalica y boton metalico para apertura </t>
  </si>
  <si>
    <t xml:space="preserve">caja metalica bateria cahazos organizador de cable cinta fuente 12v 5a boton metalico oara apertura </t>
  </si>
  <si>
    <t xml:space="preserve">jk hizo transferencia des la cuenta Bancolombia al nequi de jg </t>
  </si>
  <si>
    <t xml:space="preserve">CALLE 55 # 2 - 22 ENTRADA CAZUCA </t>
  </si>
  <si>
    <t xml:space="preserve">COLINAGRO- SEDE CAZUCA - Carolina Archila </t>
  </si>
  <si>
    <t xml:space="preserve">revision puerta metalica para ajuste y mantenimiento </t>
  </si>
  <si>
    <t xml:space="preserve">CALLE 18 # 28A - 25 </t>
  </si>
  <si>
    <t>CRA 7 # 155C - 20</t>
  </si>
  <si>
    <t>TORRE E PISO 36</t>
  </si>
  <si>
    <t xml:space="preserve">ajuste de puerta de vidrio con Omar </t>
  </si>
  <si>
    <t xml:space="preserve">jk hizo transferencia desde nequi al nequi de jg este servicio es complemento de los mantenimientos realizados el 23 de abril de 2025 </t>
  </si>
  <si>
    <t xml:space="preserve">puesta en funcionamiento de control de acceso con relebo </t>
  </si>
  <si>
    <t>jk hizo transferencia desde nequi al nequi de jg</t>
  </si>
  <si>
    <t>CRA 19 # 95 - 55</t>
  </si>
  <si>
    <t xml:space="preserve">Diego o Lidia </t>
  </si>
  <si>
    <t>OFICINA 909</t>
  </si>
  <si>
    <t xml:space="preserve">suministro e instalación de bisagra de piso cambio de esquinero con Omar </t>
  </si>
  <si>
    <t xml:space="preserve">revisión electroiman oficina gerencia </t>
  </si>
  <si>
    <t>CALLE 80 # 73A - 21</t>
  </si>
  <si>
    <t xml:space="preserve">Camila </t>
  </si>
  <si>
    <t xml:space="preserve">TIRRE 9 - 194 </t>
  </si>
  <si>
    <t>CALLE 32 # 13 - 83</t>
  </si>
  <si>
    <t xml:space="preserve">Fernando </t>
  </si>
  <si>
    <t>TORRE 4 - 1601</t>
  </si>
  <si>
    <t xml:space="preserve">revisión puerta de baño </t>
  </si>
  <si>
    <t xml:space="preserve">CALLE 57 # 1 - 60 ESTE </t>
  </si>
  <si>
    <t>Maria Cristina</t>
  </si>
  <si>
    <t xml:space="preserve">D - 302 </t>
  </si>
  <si>
    <t xml:space="preserve">ajuste de cerradura </t>
  </si>
  <si>
    <t xml:space="preserve">CRA 62 # 98B - 13 </t>
  </si>
  <si>
    <t xml:space="preserve">Juan Sánchez </t>
  </si>
  <si>
    <t xml:space="preserve">arreglo de acole carro de arrastre motor levadizo acces matic </t>
  </si>
  <si>
    <t xml:space="preserve">jk hizo el pago por nequi a lg </t>
  </si>
  <si>
    <t xml:space="preserve">cambio de rodamientos para puerta de vidrio baño </t>
  </si>
  <si>
    <t xml:space="preserve">rodamientos </t>
  </si>
  <si>
    <t>Daniel Espinoza</t>
  </si>
  <si>
    <t>TORRE B - PISO 11</t>
  </si>
  <si>
    <t xml:space="preserve">revisión puerta de vidrio y explicación de ajuste para bisagra de piso </t>
  </si>
  <si>
    <t xml:space="preserve">CALLE 12B # 71D - 31 </t>
  </si>
  <si>
    <t xml:space="preserve">Liliana Salamanca </t>
  </si>
  <si>
    <t xml:space="preserve">TORRE 5 - 203 </t>
  </si>
  <si>
    <t xml:space="preserve">2 cambios de guardas y un cilindro de llave especial </t>
  </si>
  <si>
    <t>cilindro flexon</t>
  </si>
  <si>
    <t>CRA 103B # 83 - 48</t>
  </si>
  <si>
    <t xml:space="preserve">cambio de zocalo superior y siliconado de zocalo inferior ajuste de bisagra de piso con Omar </t>
  </si>
  <si>
    <t xml:space="preserve">CALLE 127b # 7 - 15 </t>
  </si>
  <si>
    <t xml:space="preserve">AUTO GERMANA BMW - Carlos Rodríguez </t>
  </si>
  <si>
    <t xml:space="preserve">CONSECIONARIA </t>
  </si>
  <si>
    <t>mantenimiento preventivo de cabezal automático ditec</t>
  </si>
  <si>
    <t>jk hizo el pago desde la cuenta bancolombia al neki de jg</t>
  </si>
  <si>
    <t xml:space="preserve">PARQUE INDUSTRIAL CELTA AUTOPISTA MEDELLÍN KM 7 COSTADO OCCIDENTAL </t>
  </si>
  <si>
    <t xml:space="preserve">Soledad Robayo </t>
  </si>
  <si>
    <t>BODEGA 69</t>
  </si>
  <si>
    <t xml:space="preserve">mantenimiento de 2 puertas de vidrio cambio de zocalo siliconado ajuste general con Omar </t>
  </si>
  <si>
    <t>jk lo paga desde nequi a nequi de jg</t>
  </si>
  <si>
    <t xml:space="preserve">CRA 104 # 148 - 07 </t>
  </si>
  <si>
    <t xml:space="preserve">Alexander Rodríguez </t>
  </si>
  <si>
    <t>LOCAL 2 - 133</t>
  </si>
  <si>
    <t xml:space="preserve">revisión cabezal automático de entrada principal </t>
  </si>
  <si>
    <t>CALLE 84 # 12 - 18</t>
  </si>
  <si>
    <t>MABA</t>
  </si>
  <si>
    <t xml:space="preserve">revisión de control de acceso </t>
  </si>
  <si>
    <t xml:space="preserve">CRA 1 # 182 - 30 </t>
  </si>
  <si>
    <t xml:space="preserve">Javier Ramos </t>
  </si>
  <si>
    <t xml:space="preserve">PARQUEADERO </t>
  </si>
  <si>
    <t xml:space="preserve">instalación de kit brazos electromecánicos acces Matic con jk </t>
  </si>
  <si>
    <t xml:space="preserve">jk pago el servicio wn efectivo a Juan Gabriel </t>
  </si>
  <si>
    <t xml:space="preserve">CALLE 55 # 2 - 20 ENTRADA CAZUCA </t>
  </si>
  <si>
    <t>COLINAGRO SEDE CAZUCA</t>
  </si>
  <si>
    <t xml:space="preserve">ajuste de marco de puerta metalica soldada de L resane y pintura terminado el miercoles 9 de julio de 2024 </t>
  </si>
  <si>
    <t xml:space="preserve">CALLE 46 # 53 - 70 </t>
  </si>
  <si>
    <t xml:space="preserve">Ruben Orlando </t>
  </si>
  <si>
    <t xml:space="preserve">revisión motor levadizo entrada vehicular </t>
  </si>
  <si>
    <t xml:space="preserve">la parte de abrecar es para pagar el servicio de la CRA 7a # 142 - 91 </t>
  </si>
  <si>
    <t>CRA 31B # 3 - 70</t>
  </si>
  <si>
    <t xml:space="preserve">Wilson Beltrán </t>
  </si>
  <si>
    <t xml:space="preserve">revisión motor de cadena para entrada vehicular </t>
  </si>
  <si>
    <t xml:space="preserve">cambio de controles para cabezal </t>
  </si>
  <si>
    <t xml:space="preserve">unidad receptora, control adicional y parqueadero </t>
  </si>
  <si>
    <t>CONJUNTO CINDERELLA COTA</t>
  </si>
  <si>
    <t xml:space="preserve">Omar Castaño </t>
  </si>
  <si>
    <t xml:space="preserve">CASA 34 </t>
  </si>
  <si>
    <t xml:space="preserve">revisión motor de cremallera para puerta corrediza </t>
  </si>
  <si>
    <t xml:space="preserve">jk envio desde daviplata alndaviplta de jg </t>
  </si>
  <si>
    <t>mantenimiento preventivo de motor de cadena levadizo para puerta vehicular con Omar</t>
  </si>
  <si>
    <t xml:space="preserve">limpia contactos lubricante en spry </t>
  </si>
  <si>
    <t>jk envío desde nequi al nequi de jg $104.500 que es el excedente de pago  con los $26.000 de los materiales y el restante que le corresponde a jg se tomaron de los $60.000 pagados de domicilio en la cotización realizada el 11 de julio de 2025</t>
  </si>
  <si>
    <t xml:space="preserve">CRA 50B # 64 - 43 </t>
  </si>
  <si>
    <t xml:space="preserve">Lina Tarazona </t>
  </si>
  <si>
    <t xml:space="preserve">TORRE 1 - 1701 </t>
  </si>
  <si>
    <t xml:space="preserve">ajuste e instalación de carros para puerta de baño en vidrio </t>
  </si>
  <si>
    <t xml:space="preserve">CRA 7A # 142 - 91 </t>
  </si>
  <si>
    <t xml:space="preserve">Juan Miguel </t>
  </si>
  <si>
    <t xml:space="preserve">instalación de controles inalambricos motor de cadena entrada vehicular </t>
  </si>
  <si>
    <t>este servicio se cruza con el de la cra 50b # 64 - 43 que le quedaban a ABRECAR $ 140.000 y con el servicio calle 46 # 53 - 70 que le quedaban $ 60.000 a ABRECAR para total de $ 200.000</t>
  </si>
  <si>
    <t xml:space="preserve">CALLE 76 # 12 - 29 </t>
  </si>
  <si>
    <t xml:space="preserve">Isabel Rincón </t>
  </si>
  <si>
    <t>INT 5 - 101</t>
  </si>
  <si>
    <t xml:space="preserve">JG hiso transeferencia desde nequi al nqui de JK </t>
  </si>
  <si>
    <t xml:space="preserve">CRA 103B # 82 - 48 </t>
  </si>
  <si>
    <t xml:space="preserve">Angela </t>
  </si>
  <si>
    <t xml:space="preserve">mantenimiento preventivo de 6 puertas de vidrio con Omar </t>
  </si>
  <si>
    <t>CALLE 26 # 96J - 66</t>
  </si>
  <si>
    <t>LOCAL 23</t>
  </si>
  <si>
    <t xml:space="preserve">pintura lijas tiner borchas rodillos masilla </t>
  </si>
  <si>
    <t xml:space="preserve">jk pago desde la cuenta bancolombia al nequi de jg </t>
  </si>
  <si>
    <t>DIAGONAL 60A # 22A - 66</t>
  </si>
  <si>
    <t xml:space="preserve">EDIFICIO SAINTLOUIS </t>
  </si>
  <si>
    <t xml:space="preserve">revisión brazos electromecánico entrada vehicular </t>
  </si>
  <si>
    <t xml:space="preserve">CALLE 75A # 20B - 50 </t>
  </si>
  <si>
    <t xml:space="preserve">Luis Gómez </t>
  </si>
  <si>
    <t xml:space="preserve">revisión arreglo puerta de parqueadero </t>
  </si>
  <si>
    <t xml:space="preserve">CALLE 23A # 59 - 72 </t>
  </si>
  <si>
    <t xml:space="preserve">Gustavo Rodríguez </t>
  </si>
  <si>
    <t xml:space="preserve">TORRE 3 - 806 </t>
  </si>
  <si>
    <t xml:space="preserve">apertura Renault Sandero </t>
  </si>
  <si>
    <t xml:space="preserve">CRA 40 # 24A - 59 </t>
  </si>
  <si>
    <t xml:space="preserve">Johana Arango </t>
  </si>
  <si>
    <t xml:space="preserve">revisión puerta vehicular </t>
  </si>
  <si>
    <t xml:space="preserve">cambio de fuente para tarjeta controladora de brazo electromecanico beninca 24v 10a ajsute y reprogemacion de parametros de apertura y cierre </t>
  </si>
  <si>
    <t xml:space="preserve">fuente 24v 10a </t>
  </si>
  <si>
    <t xml:space="preserve">jk envio desde nequi al nequi de jg </t>
  </si>
  <si>
    <t>jk uso el 50% que le correspondia para cruzar con el pago del servicio de diag 60a # 22a - 66</t>
  </si>
  <si>
    <t xml:space="preserve">este servicio se cruza con el exedente que quedo debiendo jk en la relacion de los servicios que hubo confusion de lla diag 60a # 22a - 66 y dentix de suba donde se desconto mas de loque se le debia descontar a jg </t>
  </si>
  <si>
    <t xml:space="preserve">CALLE 101 # 13 - 41 </t>
  </si>
  <si>
    <t xml:space="preserve">EDIFICIO PORTAL DEL RINCÓN </t>
  </si>
  <si>
    <t xml:space="preserve">desmonte ajuste y siliconado de zócalo inferior con Omar </t>
  </si>
  <si>
    <t>jk hizo transferencia desde nequi al nequi jg</t>
  </si>
  <si>
    <t xml:space="preserve">CRA 46 # 18A - 36 - CANTON MILITAR CALDAS </t>
  </si>
  <si>
    <t xml:space="preserve">Hernando Rodríguez </t>
  </si>
  <si>
    <t xml:space="preserve">ESCUELA DE INGENIEROS </t>
  </si>
  <si>
    <t>TRANSV 53A # 22 - 29 SUR</t>
  </si>
  <si>
    <t>Andres</t>
  </si>
  <si>
    <t>visita para cotizar mantenimiento puerta entrada vehicular</t>
  </si>
  <si>
    <t xml:space="preserve">CRA 53 # 5A - 65 </t>
  </si>
  <si>
    <t xml:space="preserve">revisión puerta entrada vehicular levadiza </t>
  </si>
  <si>
    <t>CALLE 112 # 5A - 71</t>
  </si>
  <si>
    <t xml:space="preserve">revision de motor de cremallera bft entrada vehicular </t>
  </si>
  <si>
    <t xml:space="preserve">instalación de motor corredizo de cremallera bft entrada vehicular con JK </t>
  </si>
  <si>
    <t xml:space="preserve">jk hace transferencia desde la cuenta bancolombia al nequi de jg y deja la visita para la cotizacion como pago de la instalación </t>
  </si>
  <si>
    <t xml:space="preserve">el valor que le corresponde a ABRECAR se deja como pago de la instalación del motor a jg </t>
  </si>
  <si>
    <t>UNIDAD DE SERVICIOS COMPARTIDOS DE COOMEVA - Juan Sebastian Nova</t>
  </si>
  <si>
    <t xml:space="preserve">ajuste de fotocelda limpiza cambio de tapa de soporte fotocelda y cambio de tapa para cable canaleta </t>
  </si>
  <si>
    <t xml:space="preserve">parqueadero tollas lubricantes y otros </t>
  </si>
  <si>
    <t>jk hizo transferencia desde nequi a nequi de jg</t>
  </si>
  <si>
    <t>CRA 44B # 22 -1O</t>
  </si>
  <si>
    <t xml:space="preserve">EDIFICIO ESTIBALIZ </t>
  </si>
  <si>
    <t xml:space="preserve">ADMINISTRACION </t>
  </si>
  <si>
    <t xml:space="preserve">revision de control remoto para brazo electromecanico accesmastic 250 </t>
  </si>
  <si>
    <t>CRA 13 # 24A - 33</t>
  </si>
  <si>
    <t xml:space="preserve">UNIVERSIDAD INNCA </t>
  </si>
  <si>
    <t xml:space="preserve">SEDE UNIVERSITARIA </t>
  </si>
  <si>
    <t xml:space="preserve">mantenimiento correctivo de 2 puertas de vidrio y 10 mantenimientos preventivos de puertas de vidrio con Omar </t>
  </si>
  <si>
    <t>CRA 45 # 55 -10</t>
  </si>
  <si>
    <t>ADMINISTRACION - 102</t>
  </si>
  <si>
    <t xml:space="preserve">revision de brazo electromecanico bft a40 </t>
  </si>
  <si>
    <t>Daniel Rojas</t>
  </si>
  <si>
    <t xml:space="preserve">apertura de camioneta </t>
  </si>
  <si>
    <t>CALLE 116A # 70C - 63</t>
  </si>
  <si>
    <t>ajuste de panel lateral en drywall masillado y pintura  con Omar</t>
  </si>
  <si>
    <t>desmonte de puerta en vidrio cambio de base en bronce y pivote de piso con Omar</t>
  </si>
  <si>
    <t xml:space="preserve">este servicio hizo el pago jk desde daviplata al daviplata de jg pero hay que revisar porque estaba pagando exedente de otro servicio y la tabla de relacion no concuerda con los datos del servicio hay que  revisar puede que este mal la cuenta en contra de abrecar </t>
  </si>
  <si>
    <t xml:space="preserve">ajuste de cerradura electronica multylock para puerta blindada </t>
  </si>
  <si>
    <t xml:space="preserve">estos servicios se toman para dejar pago el servicio realizado con omar en el centro comercial unicnetro </t>
  </si>
  <si>
    <t xml:space="preserve">EL CLIENTE NO QUISO PAGAR EL DOMICILIO SEGÚN EL PORQUE NO SE HIZO UNA REVISION COMPLETA DEL SISTEMA </t>
  </si>
  <si>
    <t xml:space="preserve">AUTOLAND - Valentina Ortiz </t>
  </si>
  <si>
    <t xml:space="preserve">CONCESIONARIO AUTOMOTRIZ </t>
  </si>
  <si>
    <t xml:space="preserve">cotización para instalación de electroimán biométrico y brazo hidráulico </t>
  </si>
  <si>
    <t>CRA 70 # 95 -15</t>
  </si>
  <si>
    <t xml:space="preserve">CALLE 1DBIS # 25A - 57 </t>
  </si>
  <si>
    <t xml:space="preserve">arreglo de cerradura </t>
  </si>
  <si>
    <t xml:space="preserve">DFICIO CIMA - </t>
  </si>
  <si>
    <t xml:space="preserve">cambio de esquinero inferior para puerta de vidrio con Omar </t>
  </si>
  <si>
    <t>CRA 54A # 61 - 84</t>
  </si>
  <si>
    <t>revisión de 3 motores de cadena merik</t>
  </si>
  <si>
    <t>CRA 54A # 61 - 45</t>
  </si>
  <si>
    <t xml:space="preserve">ajuste de control remoto para motor Nice de cremallera </t>
  </si>
  <si>
    <t>CRA 12B # 10 23 SUR</t>
  </si>
  <si>
    <t>EDIFICIO LUMBI 12 - Marcela Portillo</t>
  </si>
  <si>
    <t xml:space="preserve">revisión de bisagras puerta seccionada levadiza </t>
  </si>
  <si>
    <t xml:space="preserve">k hizo transferencia desde nequi al nequi de jg </t>
  </si>
  <si>
    <t>jk pago desde nequi al nequi de jg</t>
  </si>
  <si>
    <t>SEGURIDAD FENIX - Braheem Herrera</t>
  </si>
  <si>
    <t xml:space="preserve">garantía de motor acces Matic instalado de jk </t>
  </si>
  <si>
    <t xml:space="preserve">jk paga $ 40.000 por arreglo que hizo jg el pago se toma del 50% de la CRA 12B # 10 - 23 sur  la visita de la  no se le cobra al cliente el poago lo asume jk </t>
  </si>
  <si>
    <t xml:space="preserve">CRA 7 # 53 - 35 </t>
  </si>
  <si>
    <t>EDIFICIO EL DORAL - Leonor</t>
  </si>
  <si>
    <t xml:space="preserve">revisión para instalar unidad de controles </t>
  </si>
  <si>
    <t>CALLE 95 # 13 - 35</t>
  </si>
  <si>
    <t xml:space="preserve">CONTRATISTA </t>
  </si>
  <si>
    <t xml:space="preserve">garantia de motor de piso bft instalado por daño de orina de perro </t>
  </si>
  <si>
    <t>jk asumio el pago de la garantia y la hizo desde nequi al nequi de jg</t>
  </si>
  <si>
    <t>CALLE 19 SUR # 18 - 75</t>
  </si>
  <si>
    <t>DENTIX - arquitecto Alexander</t>
  </si>
  <si>
    <t>LOCALES 1-2 y 3</t>
  </si>
  <si>
    <t xml:space="preserve">revisión para cotización de controles inalambricos y mantenimiento preventivo de cabezal automático </t>
  </si>
  <si>
    <t xml:space="preserve">CRA 14B # 109 - 45 </t>
  </si>
  <si>
    <t xml:space="preserve">Oscar Rubio </t>
  </si>
  <si>
    <t xml:space="preserve">mantenimiento de 4 motores de cadena liftmaster y soldada de pasador puerta peatonal terminado el miércoles 27 de agosto </t>
  </si>
  <si>
    <t xml:space="preserve">grasa en spray y limpiador de electrónica </t>
  </si>
  <si>
    <t>CALLE 24A # 59 - 42</t>
  </si>
  <si>
    <t xml:space="preserve">2 piso </t>
  </si>
  <si>
    <t xml:space="preserve">AGENCIA NACIONAL DE INFRAESTRUCTURAS - Nathalia Rodríguez </t>
  </si>
  <si>
    <t xml:space="preserve">revisión de cabezal automático entrada principal </t>
  </si>
  <si>
    <t>parqueadero, y parqueadero de el jueves revisión garantía &gt; $ 3.000</t>
  </si>
  <si>
    <t>CRA 22 # 142 - 34</t>
  </si>
  <si>
    <t xml:space="preserve">Angela Martínez </t>
  </si>
  <si>
    <t xml:space="preserve">revisión brazos hidráulicos Bft entrada vehicular </t>
  </si>
  <si>
    <t>CRA 97 # 22G - 64</t>
  </si>
  <si>
    <t xml:space="preserve">HOGAR STA TEREZA DE HORNET - Carlos </t>
  </si>
  <si>
    <t xml:space="preserve">revisión brazo hidráulico Faac entrada vehicular </t>
  </si>
  <si>
    <t xml:space="preserve">reprogramación brazo ppa entrada vehicular </t>
  </si>
  <si>
    <t>JK hizo la transferencia desde nequi a nequi de JG</t>
  </si>
  <si>
    <t xml:space="preserve">JK hizo una transferencia de $ 70.000 desde daviplata al daviplata de JG y una de $ 27.000 desde nequi al nequi de JG </t>
  </si>
  <si>
    <t>EDIFICIO QUINTA PAREDES PH</t>
  </si>
  <si>
    <t>CRA 43A # 23D - 07</t>
  </si>
  <si>
    <t>CALLE 83 # 16A - 44</t>
  </si>
  <si>
    <t xml:space="preserve">CENTRO COMERCIAL PLAZA DE LAS AMÉRICAS </t>
  </si>
  <si>
    <t xml:space="preserve">DENTIX - Alexander </t>
  </si>
  <si>
    <t>LOCAL 2-133</t>
  </si>
  <si>
    <t xml:space="preserve"> venta y programación de 2 controles entrada peatonal ppa cabezal automático </t>
  </si>
  <si>
    <t xml:space="preserve">2 controles los y parqueadero </t>
  </si>
  <si>
    <t xml:space="preserve">JK hizo transferencia desde daviplata al daviplata de jg </t>
  </si>
  <si>
    <t xml:space="preserve">JG hizo transferencia desde nequi a nequi de JK </t>
  </si>
  <si>
    <t xml:space="preserve">JG hizo transferencia desde daviplata al daviplata de JK tambien por daviplata entrego vueltas de lo que dio JK para materiales </t>
  </si>
  <si>
    <t xml:space="preserve">CRA 97 # 22G - 64 </t>
  </si>
  <si>
    <t xml:space="preserve">ancianato </t>
  </si>
  <si>
    <t>HOGAR SANTA TEREZA DE HORNET - Carlos</t>
  </si>
  <si>
    <t>suministro e instalación de brazo electromecánico seat para puertas pesadas entrada vehicular con JK</t>
  </si>
  <si>
    <t xml:space="preserve">CRA 73A # 63F - 28 </t>
  </si>
  <si>
    <t>ORANFARMA</t>
  </si>
  <si>
    <t xml:space="preserve">revisión motor de cadena acces Matic entrada vehicular </t>
  </si>
  <si>
    <t>JK hizo la transferencia desde la cuenta Bancolombia al nequi de JG</t>
  </si>
  <si>
    <t xml:space="preserve">JK hizo transferencia desde la cuenta Bancolombia al nequi de JG </t>
  </si>
  <si>
    <t>CALLE 19SUR # 18 - 75</t>
  </si>
  <si>
    <t xml:space="preserve">DENTIX RESTREPO - </t>
  </si>
  <si>
    <t xml:space="preserve">instalación de unidad de controles remotos y un control remoto adicional </t>
  </si>
  <si>
    <t xml:space="preserve">Unidad de controles y control adicional </t>
  </si>
  <si>
    <t>JK hizo transferencia desde la cuenta de Bancolombia al Nequi de JG</t>
  </si>
  <si>
    <t xml:space="preserve">CRA 7 # 237 - 04 </t>
  </si>
  <si>
    <t>Ordoñez</t>
  </si>
  <si>
    <t>CASA ARACUARA</t>
  </si>
  <si>
    <t xml:space="preserve">mantenimiento preventivo de 2 brazos electromecánicos Beninca y ajuste de 2 controles remotos </t>
  </si>
  <si>
    <t>CRA 50 # 102 - 06</t>
  </si>
  <si>
    <t xml:space="preserve">Luz Ángela </t>
  </si>
  <si>
    <t xml:space="preserve">ajuste de puerta de vidrio corrediza </t>
  </si>
  <si>
    <t xml:space="preserve">JK hace el pago cruzando este servicio con los que JG tenía en efectivo que se hicieron el 11-09-2025 CRA 7 # 237 - 04 y CRA 50 # 102 - 06 y dio el excedente faltante desde nequi al nequi de JG </t>
  </si>
  <si>
    <t>JK usa el pago de estos servicios para cruzar el pago del servicio de la cra 14b # 102 -45 y da el exedente con transferencia desde nequi al nequi de JG</t>
  </si>
  <si>
    <t xml:space="preserve">CRA 19 # 45 - 30 </t>
  </si>
  <si>
    <t xml:space="preserve">Gabriel Martinez </t>
  </si>
  <si>
    <t xml:space="preserve">LOCAL </t>
  </si>
  <si>
    <t xml:space="preserve">KM 1.5 VIA MEDELLÍN SIBERIA - PARQUE INDUSTRIAL FLORIDA </t>
  </si>
  <si>
    <t xml:space="preserve">Jhon Martinez </t>
  </si>
  <si>
    <t>BODEGA - 29</t>
  </si>
  <si>
    <t xml:space="preserve">mantenimiento a sistema de esclusas </t>
  </si>
  <si>
    <t xml:space="preserve">JK hace descuento total del valor que le corresponde a JG para pago de seguridad social de septiembre </t>
  </si>
  <si>
    <t xml:space="preserve">JK hace transferencia desde la cuenta Bancolombia al nequi de JG y descuentan $ 40.000 para el pago de la seguridad social de septiembre </t>
  </si>
  <si>
    <t xml:space="preserve">revisión electroimán </t>
  </si>
  <si>
    <t xml:space="preserve">instalación de sistema de carga con batería fuente 12v 5a swichada botón pulsador unidad de controles y un control adicional </t>
  </si>
  <si>
    <t xml:space="preserve">unidad de controles control adicional botón pulsador cable fuente 12v 5a batería caja plástica chazos broca </t>
  </si>
  <si>
    <t>JG  hace transferencia de $185.600 para copletar el pago del servicio a ABRECAR el cliente ya le habia abonado $450.000 este pago incluye los $60.000 de la bateria y la caja que se tomaron de la oficina y los $40.000 de la visita inicial se hizo por transferencia</t>
  </si>
  <si>
    <t xml:space="preserve">CALLE 23 SUR # 6 - 31 </t>
  </si>
  <si>
    <t xml:space="preserve">Yamcar Carlos Díaz </t>
  </si>
  <si>
    <t xml:space="preserve">ajuste de puertas de vidrio corredizas entrada y chapa mantenimiento </t>
  </si>
  <si>
    <t xml:space="preserve">CALLE 25 # 39 - 32 </t>
  </si>
  <si>
    <t xml:space="preserve">EDIFICIO AMBAR </t>
  </si>
  <si>
    <t xml:space="preserve">ajuste de timer y reprogramación </t>
  </si>
  <si>
    <t xml:space="preserve">JK hizo transferencia desde nequi al nequi de JG </t>
  </si>
  <si>
    <t>JG hace transferencia desde nequi a nequi de JK</t>
  </si>
  <si>
    <t>calle 189 #85</t>
  </si>
  <si>
    <t xml:space="preserve">2 controles elite </t>
  </si>
  <si>
    <t xml:space="preserve">cambio de par de balums para camara </t>
  </si>
  <si>
    <t xml:space="preserve">par de balums </t>
  </si>
  <si>
    <t xml:space="preserve">nunca se fue a cobrar el servicio y no lo pagaron </t>
  </si>
  <si>
    <t xml:space="preserve">mantenimiento de 7 puertas de vidrio siliconado de zócalo inferior y cambio de zócalo puerta recepción con Omar </t>
  </si>
  <si>
    <t>CRA 103B # 82 - 48</t>
  </si>
  <si>
    <t xml:space="preserve">programación de 2 controles elite para motor corredizo </t>
  </si>
  <si>
    <t xml:space="preserve">CRA 13A # 29 - 24 </t>
  </si>
  <si>
    <t xml:space="preserve">revisión motor reja enrollable entrada vehicular </t>
  </si>
  <si>
    <t xml:space="preserve">SEGURIDAD FENIX - Braheem </t>
  </si>
  <si>
    <t xml:space="preserve">venta y programación de 2 controles inalambricos para motores acces Matic bulldog entrada vehicular </t>
  </si>
  <si>
    <t>suministro e instalación de bisagra de piso y esquinero con Omar</t>
  </si>
  <si>
    <t xml:space="preserve">LAS ELECTROMEDICINA SAS - Jackeline </t>
  </si>
  <si>
    <t xml:space="preserve">suministro e instalación de bisagra de piso y base en bronce puerta de vidrio de recepción con Omar </t>
  </si>
  <si>
    <t xml:space="preserve">JK hace transferencia desde nequi al nequi de jg </t>
  </si>
  <si>
    <t>ESIFICIO AV 3ª</t>
  </si>
  <si>
    <t>instalación de brazo electromecánico bleu con JK</t>
  </si>
  <si>
    <t xml:space="preserve">CRA 4 # 72 - 22 </t>
  </si>
  <si>
    <t xml:space="preserve">HOTEL -Oscar Cubillos </t>
  </si>
  <si>
    <t xml:space="preserve">revisión cabezal automático entrada peatonal </t>
  </si>
  <si>
    <t xml:space="preserve">JG hizo transferencia desde nequi al nequi de JK </t>
  </si>
  <si>
    <t xml:space="preserve">AV BOYACA # 127D - 75 </t>
  </si>
  <si>
    <t>COLINAGRO SEDE NORTE</t>
  </si>
  <si>
    <t xml:space="preserve">instalación de puerta de vidrio con Omar </t>
  </si>
  <si>
    <t xml:space="preserve">SUPERMANZNA 5 ETPA 1 BOCHICA </t>
  </si>
  <si>
    <t xml:space="preserve">GARANTÍA TORRE 4 </t>
  </si>
  <si>
    <t>CALLE 23 SUR # 6 - 31</t>
  </si>
  <si>
    <t xml:space="preserve">GARANTÍA DE CERRADURA </t>
  </si>
  <si>
    <t xml:space="preserve">Jaime Gómez Jurado </t>
  </si>
  <si>
    <t xml:space="preserve">revisión motor corredizo beninca entrada vehicular </t>
  </si>
  <si>
    <t xml:space="preserve">JK hizo la transferencia desde la cuenta Bancolombia al nequi de JG y JK descontó $ 45.000 para el pago de la seguridad social </t>
  </si>
  <si>
    <t xml:space="preserve">SUPER MANZANA 5 ETAPA 1 BOCHICA 1 </t>
  </si>
  <si>
    <t>CALLE 100 # 69B - 67</t>
  </si>
  <si>
    <t xml:space="preserve">IGLESIA CRISTIANA </t>
  </si>
  <si>
    <t>Jose</t>
  </si>
  <si>
    <t xml:space="preserve">desmonte de 2 botellas en acero para arreglo de base con Omar </t>
  </si>
  <si>
    <t xml:space="preserve">CALLE 198 # 22 - 81 </t>
  </si>
  <si>
    <t xml:space="preserve">revisión cabezal de puerta entrada peatonal </t>
  </si>
  <si>
    <t xml:space="preserve">el chat no se encontró no hay forma de ver si se cobro o no </t>
  </si>
  <si>
    <t xml:space="preserve">Michella nunca cobro el domicilio </t>
  </si>
  <si>
    <t>Michella nunca cobro el servicio</t>
  </si>
  <si>
    <t xml:space="preserve">JK hace la transferencia desde la cuenta Bancolombia al nequi de JG y hace el descuento de $ 45.000 para pago de salud </t>
  </si>
  <si>
    <t xml:space="preserve">AUTO GERMANA CONCESIONARIO - Favio </t>
  </si>
  <si>
    <t>CONJUNTO RINCON DE LOS SANTOS - CHIA CALLE 9SUR # 5A - 0</t>
  </si>
  <si>
    <t xml:space="preserve">CASA 2 </t>
  </si>
  <si>
    <t xml:space="preserve">mantenimiento preventivo de 2 motores corredizos elite </t>
  </si>
  <si>
    <t xml:space="preserve">JG hace transferencia desde nequi al nequi de JK </t>
  </si>
  <si>
    <t xml:space="preserve">3 transferencias una realizada por $  $300.000 enviad desde la cuenta Bancolombia el 17 de octubre y las otras dos desde la cuenta Bancolombia por $ 220.000 el 21 de octubre y una última desde daviplata por $ 34.800 y se desconto $ 45.000 de seguridad social </t>
  </si>
  <si>
    <t>"CRA 46 # 18A - 36 - CANTON MILITAR CALDAS  "</t>
  </si>
  <si>
    <t xml:space="preserve">devolución y revisión de tarjeta electrónica cabezal </t>
  </si>
  <si>
    <t xml:space="preserve">revisiónes técnicas </t>
  </si>
  <si>
    <t xml:space="preserve">JK Ehace transferencia desde nequi a nequi de JG </t>
  </si>
  <si>
    <t xml:space="preserve">bisagra de piso esquinero para bisagra parqueaderos pala para rotomartillo </t>
  </si>
  <si>
    <t>la parte de abrecar se toma para pagar la revision de los tecnicos electronicos que cobraron $120.000</t>
  </si>
  <si>
    <t>la parte de abrecar se toma para pagar la revision de los tecnicos electronicos que cobraron $120.000 y el exedente de $20.000 que le quedan a abrecar JG lo toma del faltante que le debe JK del servicio de electromedicina que son $22.500</t>
  </si>
  <si>
    <t xml:space="preserve">CALLE 1H # 30 - 18 </t>
  </si>
  <si>
    <t xml:space="preserve">Alex Garay </t>
  </si>
  <si>
    <t xml:space="preserve">revisión de puerta levadiza </t>
  </si>
  <si>
    <t xml:space="preserve">JG hace transferencia desde nequi a nequi de JK </t>
  </si>
  <si>
    <t xml:space="preserve">CALLE 17A # 69 - 53 </t>
  </si>
  <si>
    <t xml:space="preserve">TECNAS </t>
  </si>
  <si>
    <t>instalación de bisagra de piso y base en bronce con Omar</t>
  </si>
  <si>
    <t xml:space="preserve">venta y programación de 2 controles inalambricos para cabezal entrada peatonal </t>
  </si>
  <si>
    <t xml:space="preserve">DENTIX SUBA - Alexander Rodríguez </t>
  </si>
  <si>
    <t xml:space="preserve">DENTIX SUBA - Alexander </t>
  </si>
  <si>
    <t xml:space="preserve">CENTRO COMERCIAL PLAZA IMPERIAL SUBA - CRA 104 # 148 - 07 </t>
  </si>
  <si>
    <t>CENTRO COMERCIAL PLAZA IMPERIAL SUBA - CRA 104 # 148 - 07</t>
  </si>
  <si>
    <t xml:space="preserve">2 controles inalambricos y parqueaderos </t>
  </si>
  <si>
    <t xml:space="preserve">JG hace transferencia desde nequi a la cuenta Bancolombia de JK y JK devolvió el excedente que puso JG para los controles </t>
  </si>
  <si>
    <t>Gabriela hizo mal la tabla descontó la visita que no se debía descontar JG ajusta faltante con servicio en efectivo que se le debía a ABRECAR JK hizo pago desde nequi a nequi de JG</t>
  </si>
  <si>
    <t xml:space="preserve"> VIA SUBA COTA LA CONEJERA </t>
  </si>
  <si>
    <t xml:space="preserve">PROTECCIÓN CATODICA DE COLOMBIA </t>
  </si>
  <si>
    <t xml:space="preserve">revisión de puerta entrada vehicular corrediza ppa </t>
  </si>
  <si>
    <t>CRA 53B BIS # 2C - 07</t>
  </si>
  <si>
    <t>José Medina</t>
  </si>
  <si>
    <t xml:space="preserve">revisión de 2 puertas levadizas de entradas vehícular </t>
  </si>
  <si>
    <t>CRA 7# 71 - 21</t>
  </si>
  <si>
    <t>David</t>
  </si>
  <si>
    <t xml:space="preserve">PISO 4 </t>
  </si>
  <si>
    <t xml:space="preserve">Mantenimiento preventivo de cabezal automático entrada peatonal </t>
  </si>
  <si>
    <t xml:space="preserve">JG hace transferencia desde Nequi a Nequi de JK </t>
  </si>
  <si>
    <t xml:space="preserve">JK hace transferencia desde Nequi al Nequi de JG y descuenta los $45.000 de seguridad social para dejar pago el mes de octubre </t>
  </si>
  <si>
    <t xml:space="preserve">garantía de mantenimiento de los dos motores corredizos </t>
  </si>
  <si>
    <t>FAES FARMA</t>
  </si>
  <si>
    <t>mantenimiento preventivo de puertas en vidrio oficinas con Omar</t>
  </si>
  <si>
    <t xml:space="preserve">no sé hizo nada cable haciendo contacto aterrizado </t>
  </si>
  <si>
    <t>CALLE 94A # 11A - 27</t>
  </si>
  <si>
    <t xml:space="preserve">venta e instalación de botón no touch para electroimán recepción </t>
  </si>
  <si>
    <t xml:space="preserve">botón no touch </t>
  </si>
  <si>
    <t xml:space="preserve">CRA 57 # 4B - 48 </t>
  </si>
  <si>
    <t>EDIFICIO PAULINA 3</t>
  </si>
  <si>
    <t>ADMINISTRACIÓN - 202</t>
  </si>
  <si>
    <t xml:space="preserve">revisión puerta levadiza entrada vehicular </t>
  </si>
  <si>
    <t>CALLE 26 # 92 - 32 - EDIFICIO G4-G5</t>
  </si>
  <si>
    <t>TERRANVM- Patricia Laborde</t>
  </si>
  <si>
    <t xml:space="preserve">visita para cotización mantenimiento de puertas vehiculares entradas </t>
  </si>
  <si>
    <t xml:space="preserve">bisagra de piso base en bronce y semento resane </t>
  </si>
  <si>
    <t>JK hace transferencia desde la cuenta balncolombia al nequi de JG</t>
  </si>
  <si>
    <t>JK hizo transferencia desde bancolombia por valor de $ 57.000 por malas cuentas que hizo Gabriela desconto el otro 25% que no debia y Jg toma esos $ 57.000 de un abono de $ 100.000 el dia 29 de octubre de 2025 por nequi lo cual solo queda un abono de $ 43.000</t>
  </si>
  <si>
    <t xml:space="preserve">CALLE 112 # 5A - 71 </t>
  </si>
  <si>
    <t>venta y programación de control inalámbrico bft</t>
  </si>
  <si>
    <t xml:space="preserve">control inalámbrico </t>
  </si>
  <si>
    <t xml:space="preserve">CALLE 180 # 12A - 16 </t>
  </si>
  <si>
    <t xml:space="preserve">TORRES DE ANDALUCÍA </t>
  </si>
  <si>
    <t xml:space="preserve">revisión puertas de entrada vehicular para cotizar mantenimiento </t>
  </si>
  <si>
    <t xml:space="preserve">JK hace transferencia desde nequi a  nequi de JG </t>
  </si>
  <si>
    <t xml:space="preserve">JK hace transferencia desde nequi a  nequi de JG y asume pago de visita técnica porque cliente no paga la visita </t>
  </si>
  <si>
    <t>CRA 70C # 57R - 57</t>
  </si>
  <si>
    <t>TORRE 1 - 1610</t>
  </si>
  <si>
    <t xml:space="preserve">apertura y ajuste de chapa </t>
  </si>
  <si>
    <t xml:space="preserve">CRA 7B # 127 - 58 </t>
  </si>
  <si>
    <t xml:space="preserve">EDIFICIO ALTOS DE BELLA SUIZA </t>
  </si>
  <si>
    <t xml:space="preserve">mantenimiento preventivo de brazo hidráulico sea entrada vehicular </t>
  </si>
  <si>
    <t xml:space="preserve">CRA 65A # 60A - 80 SUR </t>
  </si>
  <si>
    <t xml:space="preserve">revisión motor ppa para puerta corrediza entrada vehicular </t>
  </si>
  <si>
    <t>CONJUNTO VILLA OLGA TENJO-TABIO</t>
  </si>
  <si>
    <t xml:space="preserve">Alba López </t>
  </si>
  <si>
    <t>TORRE 5</t>
  </si>
  <si>
    <t xml:space="preserve">visita técnica para cotizar arreglo de puerta e instalación de electroimán </t>
  </si>
  <si>
    <t>VALLE 127A # 7B - 33</t>
  </si>
  <si>
    <t xml:space="preserve">limpieza de control remoto </t>
  </si>
  <si>
    <t>CALLE 45 # 57A - 24</t>
  </si>
  <si>
    <t>Franco</t>
  </si>
  <si>
    <t xml:space="preserve">revisión motor puerta levadiza </t>
  </si>
  <si>
    <t xml:space="preserve">JG hace transferencia desde cuenta bancaria nu a cuenta bancaria Bancolombia de JK </t>
  </si>
  <si>
    <t xml:space="preserve">JK hizo transferncia desde la cuenta Bancolombia a nequi de JG </t>
  </si>
  <si>
    <t xml:space="preserve">este servicio se cruzó con las vueltas que quedaron del botón que son $ 76.000 y abrecar descontó $ 10.000 para pago de la seguridad social </t>
  </si>
  <si>
    <t xml:space="preserve">bisagra de piso </t>
  </si>
  <si>
    <t>JK hace transferencia desde la cuenta Bancolombia al nequi de JG y hace descuento de $ 50.000 para pago de seguridad social</t>
  </si>
  <si>
    <t>CRA 62 # 98B - 13</t>
  </si>
  <si>
    <t xml:space="preserve">arreglo de pasador cadena motor accsmatic </t>
  </si>
  <si>
    <t xml:space="preserve">CALLE 117 # 70C - 81 </t>
  </si>
  <si>
    <t xml:space="preserve">Gustavo </t>
  </si>
  <si>
    <t xml:space="preserve">puesta en funcionamiento de motor corredizo beninca </t>
  </si>
  <si>
    <t xml:space="preserve">CALLE 111 # 47A - 36 </t>
  </si>
  <si>
    <t>Libia Castillo</t>
  </si>
  <si>
    <t xml:space="preserve">cambio de guaya para motor Craftsman de cadena mantenimiento preventivo reprogramación y lubricación </t>
  </si>
  <si>
    <t xml:space="preserve">guaya lubricante y perros para asegurar guaya </t>
  </si>
  <si>
    <t>JG hace transferencia desde nequi de la hija Laura Carvajal al nequi de JK</t>
  </si>
  <si>
    <t xml:space="preserve">JK hace transferencia desde nequi a nequi de JG y descuenta $50.000 de seguridad social de noviembre </t>
  </si>
  <si>
    <t>CALLE 11 # 21 - 55</t>
  </si>
  <si>
    <t xml:space="preserve">Alejandro </t>
  </si>
  <si>
    <t xml:space="preserve">jugueteria </t>
  </si>
  <si>
    <t xml:space="preserve">cotización mantenimiento de  puertas en vidrio </t>
  </si>
  <si>
    <t xml:space="preserve">CRA 20 # 166 - 24 </t>
  </si>
  <si>
    <t>MATRIMOL - Laura Ubaque</t>
  </si>
  <si>
    <t>siliconado de zócalo inferior ajuste de puerta en vidrio con Omar</t>
  </si>
  <si>
    <t xml:space="preserve">CALLE 24A # 59 - 42 - EDIFICIO ARGOS </t>
  </si>
  <si>
    <t xml:space="preserve">Juan Sebastian Roa </t>
  </si>
  <si>
    <t xml:space="preserve">OFICINA - 302 </t>
  </si>
  <si>
    <t xml:space="preserve">cotización instalación de electroimán y lector de tarjetas </t>
  </si>
  <si>
    <t xml:space="preserve">mantenimiento preventivo  de puertas de vidrio corrediza y suministro e instalación de patín de piso con Omar </t>
  </si>
  <si>
    <t xml:space="preserve">patin de piso guía </t>
  </si>
  <si>
    <t>JG hace transferencia desde el daviplata de la hija menor Karen Carvajal al nequi de JK se transfiere $ 195.700 porque se descuentan los servicios hechos en la cra 20 # 166 - 24 que le corresponden a JG $ 170.300 y de la cra 7b # 127 _ 58 $  180.600 y de este servicio se le pago a Omar en efectivo al termino del servicio</t>
  </si>
  <si>
    <t>el pago de este servicio se cruzo y desconto de lo que le tocaba a abrecar de la calle 11 # 21 - 55</t>
  </si>
  <si>
    <t>Sebastian</t>
  </si>
  <si>
    <t xml:space="preserve">puesta en funcionamiento y reprogramacion de brazos electromecanicos beninca </t>
  </si>
  <si>
    <t>Jk hace transferencia desde la cuenta bancolombia a nequi de JG</t>
  </si>
  <si>
    <t>CALLE 23G # 82 - 83</t>
  </si>
  <si>
    <t>garantia de brazos electromecanicos acces matic fotoceldas se quedaban sin corriente si se iba la luz</t>
  </si>
  <si>
    <t xml:space="preserve">solucionado el tema de las fotoceldas que se quedaban sin corriente si se iba la luz se pusieron con alimentacion desde la bateria de respaldo </t>
  </si>
  <si>
    <t>CALLE 17 # 4 - 64</t>
  </si>
  <si>
    <t xml:space="preserve">cerradura segurez pomo metálico </t>
  </si>
  <si>
    <t xml:space="preserve">CRA 10 # 16 - 04 SUR </t>
  </si>
  <si>
    <t xml:space="preserve">revisión para cotización cambio de brazos electromecánicos entrada vehicular </t>
  </si>
  <si>
    <t>CRA 78 # 5 - 64</t>
  </si>
  <si>
    <t xml:space="preserve">revisión puerta levadiza y motor acces Matic shark 1000 para puesta en funcionamiento </t>
  </si>
  <si>
    <t xml:space="preserve">puerta de vidrio y accesorios y transporte </t>
  </si>
  <si>
    <t xml:space="preserve">JK hace transferencia desde la cuenta Bancolombia al Nequi de JG y descuenta $ 45.000 de la seguridad social </t>
  </si>
  <si>
    <t xml:space="preserve">parqueadero y lubricantes </t>
  </si>
  <si>
    <t xml:space="preserve">JK hace transferencia desde Nequi a Nequi de JG </t>
  </si>
  <si>
    <t xml:space="preserve">CALLE 119 # 7 - 75 &amp; CALLE 116 # 7 - 02  </t>
  </si>
  <si>
    <t>PARQUEADERO</t>
  </si>
  <si>
    <t>mantenimientos preventivos de puertas de vidrio cajas de pago 2</t>
  </si>
  <si>
    <t xml:space="preserve">el cliente nuca pago el domicilio </t>
  </si>
  <si>
    <t>CALLE 71 # 14 - 68</t>
  </si>
  <si>
    <t xml:space="preserve">venta y programación de control remoto </t>
  </si>
  <si>
    <t xml:space="preserve">control de micro motores </t>
  </si>
  <si>
    <t xml:space="preserve">CRA 66 # 3 - 45 </t>
  </si>
  <si>
    <t xml:space="preserve">suministro e instalación de cerradura Yale de planchón llave especial </t>
  </si>
  <si>
    <t xml:space="preserve">cerradura Yale de planchón llave especial </t>
  </si>
  <si>
    <t>JK hace transferencia desde Nequi a Nequi de JG</t>
  </si>
  <si>
    <t xml:space="preserve">JK hizo transferencia de $ 29.000 desde daviplata que es el excedente que faltaba de pago , el señor dio $ 120.000 en efectivo y de ahí mismo se sacó para la compra del control </t>
  </si>
  <si>
    <t xml:space="preserve">este servicio parece que quedo incluido en el pago que se hizo del los tres motores con cadena que ya se pagó </t>
  </si>
  <si>
    <t>CALLE 121 # 53A - 23</t>
  </si>
  <si>
    <t xml:space="preserve">Ovidio Osorio Gómez </t>
  </si>
  <si>
    <t xml:space="preserve">ajuste de carro motor levadizo liftmaster </t>
  </si>
  <si>
    <t xml:space="preserve">JK hace transferencia desde Nequi a Nequi de JG y hace descuento de $ 50.000 para la seguridad social </t>
  </si>
  <si>
    <t xml:space="preserve">3 cambios de guardas y suministro e instalación de cerradura de pomo metálico llave ciega </t>
  </si>
  <si>
    <t xml:space="preserve">CRA 15 # 4 - 28 SUR </t>
  </si>
  <si>
    <t>Camilo Caicedo</t>
  </si>
  <si>
    <t xml:space="preserve">reprogramación de motor acces Matic puerta enrollable </t>
  </si>
  <si>
    <t xml:space="preserve">TRV 63 # 68B - 92 SUR </t>
  </si>
  <si>
    <t xml:space="preserve">CASA GRANDE MANZANA 3 ETAPA 2 - Carol Sarmiento </t>
  </si>
  <si>
    <t xml:space="preserve">cotización ajuste de puertas de vidrio recepción </t>
  </si>
  <si>
    <t xml:space="preserve">CALLE 114A # 47A - 21 </t>
  </si>
  <si>
    <t>Lina - Raquel</t>
  </si>
  <si>
    <t>revisión brazos electromecánicos entrada vehicular entrematic</t>
  </si>
  <si>
    <t>CALLE 65 # 7 - 68</t>
  </si>
  <si>
    <t xml:space="preserve">EDIFICIO SN FRANCISCO </t>
  </si>
  <si>
    <t xml:space="preserve">revisión motor liftmaster de cadena </t>
  </si>
  <si>
    <t>CALLE 67B SUR # 13 - 60</t>
  </si>
  <si>
    <t>TORRE6 - 1006</t>
  </si>
  <si>
    <t>suministro e instalación de 2 bases de bronce para bisagra de piso reinstalación de bisagras de piso y siliconado de zócalo inferior de 2 puertas de vidrio con Omar</t>
  </si>
  <si>
    <t xml:space="preserve">bases de bronce y cemento blanco </t>
  </si>
  <si>
    <t xml:space="preserve">JG hace transferencia desde Daviplata a Daviplata de JK </t>
  </si>
  <si>
    <t xml:space="preserve">JK hace transferencia desde la cuenta Bancolombia a Nequi de JG y descuenta $ 50.000 de pago seguridad social segunda semana de diciembre </t>
  </si>
  <si>
    <t xml:space="preserve">CRA 87B BIS # 40 - 79 SUR </t>
  </si>
  <si>
    <t xml:space="preserve">Sebastian Rodríguez </t>
  </si>
  <si>
    <t xml:space="preserve">revisión para mantenimiento motor levadizo liftmaster </t>
  </si>
  <si>
    <t xml:space="preserve">Maria Del Pilar Carvajal </t>
  </si>
  <si>
    <t>CRA 8A # 20A - 80 -CONJUNTO LA CAPELLANIA CAJICA</t>
  </si>
  <si>
    <t>mantenimiento preventivo de 2 brazos electromecánicos ppa</t>
  </si>
  <si>
    <t xml:space="preserve">JK hace transferencia desde la cuenta Bancolombia a Nequi de JG y descuenta $ 45.000 de seguridad social tercera semana de diciembre </t>
  </si>
  <si>
    <t xml:space="preserve">DIAG 16 # 41 - 51 SUR </t>
  </si>
  <si>
    <t xml:space="preserve">Isaías Castañeda </t>
  </si>
  <si>
    <t xml:space="preserve">revisión de puertas levadizas entradas vehiculares </t>
  </si>
  <si>
    <t xml:space="preserve">suministro e instalación de brazo electromecánico ppa y reprogramación de tarjeta electrónica </t>
  </si>
  <si>
    <t>CRA 43A # 24D - 07</t>
  </si>
  <si>
    <t xml:space="preserve">EDIFICIO QUINTA PAREDES PH </t>
  </si>
  <si>
    <t>JK hace transferencia desde Daviplata a Daviplata de JG</t>
  </si>
  <si>
    <t xml:space="preserve">CALLE 94 # 72A - 92 </t>
  </si>
  <si>
    <t xml:space="preserve">CONJUNTO RESIDENCIAL LA TORROJA </t>
  </si>
  <si>
    <t xml:space="preserve">instalación de dos brazos hidráulicos entrada vehicular con JK y Óscar finalizado el 18 de diciembre de 2025 </t>
  </si>
  <si>
    <t xml:space="preserve">CALLE 39A # 50 - 90 SUR </t>
  </si>
  <si>
    <t xml:space="preserve">ajuste puerta levadiza entrada vehicular </t>
  </si>
  <si>
    <t xml:space="preserve">CALLE 134 BIS # 19 - 75 </t>
  </si>
  <si>
    <t xml:space="preserve">GRUPO GUERRERO </t>
  </si>
  <si>
    <t xml:space="preserve">desmonte de puerta de vidrio siliconado de zócalo inferior y cambio de base en bronce con Omar </t>
  </si>
  <si>
    <t>JK hace transferencia desde desde la cuenta Bancolombia a Nequi de JG</t>
  </si>
  <si>
    <t xml:space="preserve">CALLE 44 # 72B - 40 SUR </t>
  </si>
  <si>
    <t xml:space="preserve">SUPERMERCADO </t>
  </si>
  <si>
    <t xml:space="preserve">el cliente no quiso pagar la visita </t>
  </si>
  <si>
    <t>CALLE 11 # 21 - 25</t>
  </si>
  <si>
    <t>LOCAL</t>
  </si>
  <si>
    <t>GARANTÍA DE PUERTA CORREDIZA CON OMAR</t>
  </si>
  <si>
    <t xml:space="preserve">GARANTÍA desconexión de fotoceldas que presentan problemas </t>
  </si>
  <si>
    <t>SUPER MANZANA 5 ETAPA 1 BOCHICA 1</t>
  </si>
  <si>
    <t xml:space="preserve">suministro e instalación de 2 bisagras de piso y bases de bronce para bisagra torres 1 y 6 con Omar </t>
  </si>
  <si>
    <t xml:space="preserve">CRA 45 # 56 - 60 </t>
  </si>
  <si>
    <t xml:space="preserve">visita técnica para revisión puertas entrada vehicular </t>
  </si>
  <si>
    <t xml:space="preserve">EDIFICIO GADELPI </t>
  </si>
  <si>
    <t xml:space="preserve">CALLE 24 SUR # 5 - 26 </t>
  </si>
  <si>
    <t xml:space="preserve">Johan Castañeda </t>
  </si>
  <si>
    <t xml:space="preserve">apertura de taxi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</si>
</sst>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[$-F800]dddd\,\ mmmm\ dd\,\ yyyy"/>
    <numFmt numFmtId="166" formatCode="_-&quot;$&quot;\ * #,##0_-;\-&quot;$&quot;\ * #,##0_-;_-&quot;$&quot;\ * &quot;-&quot;??_-;_-@_-"/>
    <numFmt numFmtId="167" formatCode="&quot;$&quot;\ #,##0"/>
    <numFmt numFmtId="168" formatCode="[$$-540A]#,##0"/>
    <numFmt numFmtId="169" formatCode="&quot;$&quot;#,##0"/>
    <numFmt numFmtId="170" formatCode="[$-240A]dddd\,\ dd&quot; de &quot;mmmm&quot; de &quot;yyyy;@"/>
    <numFmt numFmtId="171" formatCode="[$$-240A]\ 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7" fontId="0" fillId="0" borderId="0" xfId="0" applyNumberFormat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7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167" fontId="0" fillId="0" borderId="0" xfId="0" applyNumberFormat="1" applyAlignment="1"/>
    <xf numFmtId="168" fontId="0" fillId="0" borderId="0" xfId="0" applyNumberFormat="1" applyAlignment="1">
      <alignment horizontal="center" vertical="center"/>
    </xf>
    <xf numFmtId="168" fontId="0" fillId="0" borderId="0" xfId="0" applyNumberFormat="1"/>
    <xf numFmtId="168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 inden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wrapText="1"/>
    </xf>
    <xf numFmtId="169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 wrapText="1"/>
    </xf>
    <xf numFmtId="169" fontId="0" fillId="0" borderId="0" xfId="0" applyNumberFormat="1"/>
    <xf numFmtId="169" fontId="0" fillId="0" borderId="0" xfId="2" applyNumberFormat="1" applyFont="1" applyAlignment="1">
      <alignment horizontal="center" vertical="center"/>
    </xf>
    <xf numFmtId="169" fontId="0" fillId="0" borderId="0" xfId="2" applyNumberFormat="1" applyFont="1" applyAlignment="1"/>
    <xf numFmtId="169" fontId="0" fillId="0" borderId="0" xfId="0" applyNumberFormat="1" applyFont="1" applyAlignment="1"/>
    <xf numFmtId="0" fontId="0" fillId="0" borderId="0" xfId="0" applyNumberFormat="1" applyAlignment="1">
      <alignment horizontal="center" vertical="center" wrapText="1"/>
    </xf>
    <xf numFmtId="170" fontId="0" fillId="0" borderId="0" xfId="0" applyNumberFormat="1" applyAlignment="1">
      <alignment horizontal="center" vertical="center"/>
    </xf>
    <xf numFmtId="170" fontId="0" fillId="0" borderId="0" xfId="0" applyNumberFormat="1"/>
    <xf numFmtId="170" fontId="0" fillId="0" borderId="0" xfId="0" applyNumberFormat="1" applyAlignment="1">
      <alignment horizontal="center" vertical="center" wrapText="1"/>
    </xf>
    <xf numFmtId="170" fontId="0" fillId="0" borderId="0" xfId="0" applyNumberFormat="1" applyAlignment="1">
      <alignment wrapText="1"/>
    </xf>
    <xf numFmtId="169" fontId="0" fillId="0" borderId="0" xfId="1" applyNumberFormat="1" applyFont="1" applyAlignment="1">
      <alignment horizontal="center" vertical="center"/>
    </xf>
    <xf numFmtId="169" fontId="0" fillId="0" borderId="0" xfId="1" applyNumberFormat="1" applyFont="1" applyAlignment="1">
      <alignment horizontal="center" vertical="center" wrapText="1"/>
    </xf>
    <xf numFmtId="169" fontId="0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wrapText="1"/>
    </xf>
    <xf numFmtId="168" fontId="0" fillId="0" borderId="0" xfId="1" applyNumberFormat="1" applyFont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0" xfId="0" applyNumberFormat="1"/>
  </cellXfs>
  <cellStyles count="3">
    <cellStyle name="Millares" xfId="1" builtinId="3"/>
    <cellStyle name="Moneda" xfId="2" builtinId="4"/>
    <cellStyle name="Normal" xfId="0" builtinId="0"/>
  </cellStyles>
  <dxfs count="565">
    <dxf>
      <alignment horizontal="general" vertical="bottom" textRotation="0" wrapText="1" indent="0" justifyLastLine="0" shrinkToFit="0" readingOrder="0"/>
    </dxf>
    <dxf>
      <numFmt numFmtId="165" formatCode="[$-F800]dddd\,\ mmmm\ dd\,\ yyyy"/>
    </dxf>
    <dxf>
      <numFmt numFmtId="30" formatCode="@"/>
    </dxf>
    <dxf>
      <numFmt numFmtId="167" formatCode="&quot;$&quot;\ #,##0"/>
    </dxf>
    <dxf>
      <numFmt numFmtId="167" formatCode="&quot;$&quot;\ #,##0"/>
    </dxf>
    <dxf>
      <numFmt numFmtId="2" formatCode="0.00"/>
    </dxf>
    <dxf>
      <numFmt numFmtId="167" formatCode="&quot;$&quot;\ #,##0"/>
    </dxf>
    <dxf>
      <numFmt numFmtId="167" formatCode="&quot;$&quot;\ #,##0"/>
    </dxf>
    <dxf>
      <numFmt numFmtId="168" formatCode="[$$-540A]#,##0"/>
    </dxf>
    <dxf>
      <numFmt numFmtId="168" formatCode="[$$-540A]#,##0"/>
    </dxf>
    <dxf>
      <numFmt numFmtId="168" formatCode="[$$-540A]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5" formatCode="[$-F800]dddd\,\ mmmm\ dd\,\ yyyy"/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FF660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FF660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FF660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39994506668294322"/>
        </patternFill>
      </fill>
    </dxf>
    <dxf>
      <fill>
        <patternFill>
          <bgColor rgb="FFFF6600"/>
        </patternFill>
      </fill>
    </dxf>
    <dxf>
      <fill>
        <patternFill>
          <bgColor theme="4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FF6600"/>
        </patternFill>
      </fill>
    </dxf>
    <dxf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alignment horizontal="center" vertical="center" textRotation="0" wrapText="1" indent="0" justifyLastLine="0" shrinkToFit="0" readingOrder="0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8" formatCode="[$$-540A]#,##0"/>
      <alignment horizontal="center" vertical="center" textRotation="0" wrapText="0" indent="0" justifyLastLine="0" shrinkToFit="0" readingOrder="0"/>
    </dxf>
    <dxf>
      <numFmt numFmtId="168" formatCode="[$$-540A]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[$$-540A]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numFmt numFmtId="171" formatCode="[$$-240A]\ #,##0"/>
    </dxf>
    <dxf>
      <numFmt numFmtId="171" formatCode="[$$-240A]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$-540A]#,##0"/>
      <alignment horizontal="center" vertical="center" textRotation="0" wrapText="0" indent="0" justifyLastLine="0" shrinkToFit="0" readingOrder="0"/>
    </dxf>
    <dxf>
      <numFmt numFmtId="168" formatCode="[$$-540A]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numFmt numFmtId="168" formatCode="[$$-540A]#,##0"/>
      <alignment horizontal="general" vertical="bottom" textRotation="0" wrapText="1" indent="0" justifyLastLine="0" shrinkToFit="0" readingOrder="0"/>
    </dxf>
    <dxf>
      <numFmt numFmtId="168" formatCode="[$$-540A]#,##0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$-540A]#,##0"/>
      <alignment horizontal="center" vertical="center" textRotation="0" wrapText="0" indent="0" justifyLastLine="0" shrinkToFit="0" readingOrder="0"/>
    </dxf>
    <dxf>
      <numFmt numFmtId="168" formatCode="[$$-540A]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  <alignment horizontal="general" vertical="bottom" textRotation="0" wrapText="1" indent="0" justifyLastLine="0" shrinkToFit="0" readingOrder="0"/>
    </dxf>
    <dxf>
      <numFmt numFmtId="165" formatCode="[$-F800]dddd\,\ mmmm\ dd\,\ yyyy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6" formatCode="_-&quot;$&quot;\ * #,##0_-;\-&quot;$&quot;\ * #,##0_-;_-&quot;$&quot;\ * &quot;-&quot;??_-;_-@_-"/>
    </dxf>
    <dxf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</dxf>
    <dxf>
      <numFmt numFmtId="165" formatCode="[$-F800]dddd\,\ mmmm\ dd\,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[$-240A]dddd\,\ dd&quot; de &quot;mmmm&quot; de &quot;yyyy;@"/>
    </dxf>
    <dxf>
      <numFmt numFmtId="170" formatCode="[$-240A]dddd\,\ dd&quot; de &quot;mmmm&quot; de &quot;yyyy;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9" formatCode="&quot;$&quot;#,##0"/>
    </dxf>
    <dxf>
      <numFmt numFmtId="169" formatCode="&quot;$&quot;#,##0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&quot;$&quot;#,##0"/>
      <alignment horizontal="center" vertical="center" textRotation="0" wrapText="0" indent="0" justifyLastLine="0" shrinkToFit="0" readingOrder="0"/>
    </dxf>
    <dxf>
      <numFmt numFmtId="169" formatCode="&quot;$&quot;#,##0"/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[$-240A]dddd\,\ dd&quot; de &quot;mmmm&quot; de &quot;yyyy;@"/>
      <alignment horizontal="center" vertical="center" textRotation="0" wrapText="1" indent="0" justifyLastLine="0" shrinkToFit="0" readingOrder="0"/>
    </dxf>
    <dxf>
      <numFmt numFmtId="170" formatCode="[$-240A]dddd\,\ dd&quot; de &quot;mmmm&quot; de &quot;yyyy;@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[$-240A]dddd\,\ dd&quot; de &quot;mmmm&quot; de &quot;yyyy;@"/>
    </dxf>
    <dxf>
      <numFmt numFmtId="170" formatCode="[$-240A]dddd\,\ dd&quot; de &quot;mmmm&quot; de &quot;yyyy;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8" formatCode="[$$-540A]#,##0"/>
      <alignment horizontal="general" vertical="bottom" textRotation="0" wrapText="1" indent="0" justifyLastLine="0" shrinkToFit="0" readingOrder="0"/>
    </dxf>
    <dxf>
      <numFmt numFmtId="168" formatCode="[$$-540A]#,##0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[$-240A]dddd\,\ dd&quot; de &quot;mmmm&quot; de &quot;yyyy;@"/>
      <alignment horizontal="general" vertical="bottom" textRotation="0" wrapText="1" indent="0" justifyLastLine="0" shrinkToFit="0" readingOrder="0"/>
    </dxf>
    <dxf>
      <numFmt numFmtId="170" formatCode="[$-240A]dddd\,\ dd&quot; de &quot;mmmm&quot; de &quot;yyyy;@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[$-240A]dddd\,\ dd&quot; de &quot;mmmm&quot; de &quot;yyyy;@"/>
    </dxf>
    <dxf>
      <numFmt numFmtId="170" formatCode="[$-240A]dddd\,\ dd&quot; de &quot;mmmm&quot; de &quot;yyyy;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&quot;$&quot;#,##0"/>
      <alignment horizontal="general" vertical="bottom" textRotation="0" wrapText="0" indent="0" justifyLastLine="0" shrinkToFit="0" readingOrder="0"/>
    </dxf>
    <dxf>
      <numFmt numFmtId="169" formatCode="&quot;$&quot;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9" formatCode="&quot;$&quot;#,##0"/>
    </dxf>
    <dxf>
      <numFmt numFmtId="169" formatCode="&quot;$&quot;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[$-240A]dddd\,\ dd&quot; de &quot;mmmm&quot; de &quot;yyyy;@"/>
    </dxf>
    <dxf>
      <numFmt numFmtId="170" formatCode="[$-240A]dddd\,\ dd&quot; de &quot;mmmm&quot; de &quot;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[$-240A]dddd\,\ dd&quot; de &quot;mmmm&quot; de &quot;yyyy;@"/>
    </dxf>
    <dxf>
      <numFmt numFmtId="170" formatCode="[$-240A]dddd\,\ dd&quot; de &quot;mmmm&quot; de &quot;yyyy;@"/>
      <alignment horizontal="center" vertical="center" textRotation="0" wrapText="0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8" formatCode="[$$-540A]#,##0"/>
      <alignment horizontal="general" vertical="bottom" textRotation="0" wrapText="1" indent="0" justifyLastLine="0" shrinkToFit="0" readingOrder="0"/>
    </dxf>
    <dxf>
      <numFmt numFmtId="168" formatCode="[$$-540A]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[$-240A]dddd\,\ dd&quot; de &quot;mmmm&quot; de &quot;yyyy;@"/>
      <alignment horizontal="general" vertical="bottom" textRotation="0" wrapText="1" indent="0" justifyLastLine="0" shrinkToFit="0" readingOrder="0"/>
    </dxf>
    <dxf>
      <numFmt numFmtId="170" formatCode="[$-240A]dddd\,\ dd&quot; de &quot;mmmm&quot; de &quot;yyyy;@"/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70" formatCode="[$-240A]dddd\,\ dd&quot; de &quot;mmmm&quot; de &quot;yyyy;@"/>
    </dxf>
    <dxf>
      <numFmt numFmtId="170" formatCode="[$-240A]dddd\,\ dd&quot; de &quot;mmmm&quot; de &quot;yyyy;@"/>
      <alignment horizontal="center" vertical="center" textRotation="0" wrapText="0" indent="0" justifyLastLine="0" shrinkToFit="0" readingOrder="0"/>
    </dxf>
    <dxf>
      <numFmt numFmtId="30" formatCode="@"/>
    </dxf>
    <dxf>
      <numFmt numFmtId="30" formatCode="@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numFmt numFmtId="168" formatCode="[$$-540A]#,##0"/>
    </dxf>
    <dxf>
      <numFmt numFmtId="168" formatCode="[$$-540A]#,##0"/>
      <alignment horizontal="center" vertical="center" textRotation="0" wrapText="0" indent="0" justifyLastLine="0" shrinkToFit="0" readingOrder="0"/>
    </dxf>
    <dxf>
      <numFmt numFmtId="167" formatCode="&quot;$&quot;\ #,##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&quot;$&quot;\ #,##0"/>
      <alignment horizontal="general" vertical="bottom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&quot;$&quot;\ #,##0"/>
      <alignment horizontal="center" vertical="center" textRotation="0" wrapText="0" indent="0" justifyLastLine="0" shrinkToFit="0" readingOrder="0"/>
    </dxf>
    <dxf>
      <numFmt numFmtId="167" formatCode="&quot;$&quot;\ #,##0"/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[$-240A]dddd\,\ dd&quot; de &quot;mmmm&quot; de &quot;yyyy;@"/>
    </dxf>
    <dxf>
      <numFmt numFmtId="170" formatCode="[$-240A]dddd\,\ dd&quot; de &quot;mmmm&quot; de &quot;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D5825-CFDA-4ADD-8BFF-F4D8F9B37467}" name="Tabla1" displayName="Tabla1" ref="A1:S41" totalsRowCount="1" headerRowDxfId="564" dataDxfId="563">
  <autoFilter ref="A1:S40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88EFFA51-78C5-4D82-BB42-F4AEE89D019D}" name="FECHA" totalsRowLabel="Total" dataDxfId="562" totalsRowDxfId="561"/>
    <tableColumn id="2" xr3:uid="{7B541160-E215-48CE-A708-A9B81341FB36}" name="DIRECCION" dataDxfId="560"/>
    <tableColumn id="3" xr3:uid="{C87E6F99-2C33-41E1-910A-56118FB6CEA2}" name="NOMBRE CLIENTE" dataDxfId="559" totalsRowDxfId="558"/>
    <tableColumn id="4" xr3:uid="{AC238300-B15A-40FF-BF70-F1ABBF4B84DB}" name="TORRE/APTO" dataDxfId="557" totalsRowDxfId="556"/>
    <tableColumn id="5" xr3:uid="{DEBA4A69-A326-4346-9AF7-8F94C71F04B8}" name="SERVICIO REALIZADO" dataDxfId="555" totalsRowDxfId="554"/>
    <tableColumn id="6" xr3:uid="{0C5C7083-E11A-4126-BB1C-58037F790853}" name="DOMICILIO" dataDxfId="553" totalsRowDxfId="552"/>
    <tableColumn id="7" xr3:uid="{85C411DB-DD0C-4095-A483-1972E44C659E}" name="VALOR SERVICIO" dataDxfId="551" totalsRowDxfId="550"/>
    <tableColumn id="8" xr3:uid="{BE982540-62B2-4C53-B539-D567DCB96001}" name="MATERIALES" dataDxfId="549"/>
    <tableColumn id="9" xr3:uid="{D55AA2D8-3A08-47D0-9212-47CF0F007908}" name="VALOR MATERIALES" dataDxfId="548" totalsRowDxfId="547"/>
    <tableColumn id="10" xr3:uid="{D05A4303-A355-4454-BCB2-EC086ADE67B7}" name="IVA 19%" dataDxfId="546" totalsRowDxfId="545"/>
    <tableColumn id="11" xr3:uid="{668C804D-C86E-4B64-9768-E9C785F0DE00}" name="PORTERIA" dataDxfId="544" totalsRowDxfId="543"/>
    <tableColumn id="12" xr3:uid="{46DB6D4C-9CC6-4252-96CF-72C1E3C46BEA}" name="FORMA DE PAGO " dataDxfId="542"/>
    <tableColumn id="13" xr3:uid="{FA9B3154-D832-48D2-8D04-6729D9D451FA}" name="TOTAL SERVICIO" dataDxfId="541" totalsRowDxfId="540">
      <calculatedColumnFormula>(F2+G2-I2-K2)</calculatedColumnFormula>
    </tableColumn>
    <tableColumn id="14" xr3:uid="{82B0E965-2F35-49F4-B770-9A98B3827FC7}" name="X50%/X25%" dataDxfId="539" totalsRowDxfId="538"/>
    <tableColumn id="15" xr3:uid="{3E19AA37-CF0B-4C1B-B04A-0A62D3D17436}" name="PARA JG" dataDxfId="537" totalsRowDxfId="536">
      <calculatedColumnFormula>IF(N2="X25%",M2*0.25,IF(N2="X50%",M2/2,""))</calculatedColumnFormula>
    </tableColumn>
    <tableColumn id="16" xr3:uid="{2EB78162-0BC1-4664-A2A8-56110798321E}" name="PARA ABRECAR" dataDxfId="535" totalsRowDxfId="534">
      <calculatedColumnFormula>(M2/2+J2)</calculatedColumnFormula>
    </tableColumn>
    <tableColumn id="17" xr3:uid="{09F90FEF-782C-4AF1-B98E-46E81FF06B83}" name="ESTADO DEL SERVICIO" dataDxfId="533" totalsRowDxfId="532"/>
    <tableColumn id="18" xr3:uid="{6BF05911-D79C-4CC7-98AF-584BCA918F60}" name="FECHA DE RELACION DEL SERVICIO" dataDxfId="531" totalsRowDxfId="530"/>
    <tableColumn id="19" xr3:uid="{AC55681B-2B2C-491B-9108-650B648D57E8}" name="NOTAS " totalsRowFunction="count" dataDxfId="529"/>
  </tableColumns>
  <tableStyleInfo name="TableStyleLight8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438BA3-29D2-4F86-A312-A9854BED804A}" name="Tabla13" displayName="Tabla13" ref="A1:S41" totalsRowCount="1" headerRowDxfId="528" dataDxfId="527">
  <autoFilter ref="A1:S40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D5AF355-292A-437A-ABFF-14D4EE864C29}" name="FECHA" totalsRowLabel="Total" dataDxfId="526" totalsRowDxfId="525"/>
    <tableColumn id="2" xr3:uid="{5EA7179A-1A2E-4DA8-9CA0-A8CD4A717B15}" name="DIRECCION" dataDxfId="524" totalsRowDxfId="523"/>
    <tableColumn id="3" xr3:uid="{E34E0C46-217A-438E-9B35-A0FF51FAC3F7}" name="NOMBRE CLIENTE" dataDxfId="522" totalsRowDxfId="521"/>
    <tableColumn id="4" xr3:uid="{560F5D09-0B9E-4A04-A18C-BF23E3A80E5D}" name="TORRE/APTO" dataDxfId="520" totalsRowDxfId="519"/>
    <tableColumn id="5" xr3:uid="{7134EEE2-6484-4F0E-9435-D17BB7E557CA}" name="SERVICIO REALIZADO" dataDxfId="518" totalsRowDxfId="517"/>
    <tableColumn id="6" xr3:uid="{32BD03FE-E4E7-4E0E-B2A4-B633D6C0425A}" name="DOMICILIO" dataDxfId="516" totalsRowDxfId="515" dataCellStyle="Millares"/>
    <tableColumn id="7" xr3:uid="{44206A87-92DB-40AC-B414-3C66B7F4622D}" name="VALOR SERVICIO" dataDxfId="514" totalsRowDxfId="513"/>
    <tableColumn id="8" xr3:uid="{14ABC623-5BB2-465D-A355-1E904638BB4F}" name="MATERIALES" dataDxfId="512" totalsRowDxfId="511"/>
    <tableColumn id="9" xr3:uid="{BA6E9A66-ED27-4537-AFDE-7B52D7B2CFAD}" name="VALOR MATERIALES" dataDxfId="510" totalsRowDxfId="509"/>
    <tableColumn id="10" xr3:uid="{F97C474D-0D87-427E-B496-3DD1D2D311BC}" name="IVA 19%" dataDxfId="508" totalsRowDxfId="507"/>
    <tableColumn id="11" xr3:uid="{0569DB8A-2AA4-4706-85EA-49056986314D}" name="PORTERIA" dataDxfId="506" totalsRowDxfId="505"/>
    <tableColumn id="12" xr3:uid="{CEA9ED83-3012-41AC-8AB2-F507C2E3B7FC}" name="FORMA DE PAGO " dataDxfId="504"/>
    <tableColumn id="13" xr3:uid="{F52A621D-2C23-47B6-802B-1BEDE09C99C4}" name="TOTAL SERVICIO" dataDxfId="503" totalsRowDxfId="502">
      <calculatedColumnFormula>(F2+G2-I2-K2)</calculatedColumnFormula>
    </tableColumn>
    <tableColumn id="14" xr3:uid="{5BAFF023-C8EE-4A74-B2B4-3CA0D6B08EE1}" name="X50%/X25%" dataDxfId="501" totalsRowDxfId="500"/>
    <tableColumn id="15" xr3:uid="{844FBD5D-CD5B-4D22-817A-294B4EE3E163}" name="PARA JG" dataDxfId="499" totalsRowDxfId="498">
      <calculatedColumnFormula>IF(N2="X25%",M2*0.25,IF(N2="X50%",M2/2,""))</calculatedColumnFormula>
    </tableColumn>
    <tableColumn id="16" xr3:uid="{D4E47D5D-5691-4AD4-BAC3-4761D49930C8}" name="PARA ABRECAR" dataDxfId="497" totalsRowDxfId="496">
      <calculatedColumnFormula>(M2/2+J2)</calculatedColumnFormula>
    </tableColumn>
    <tableColumn id="17" xr3:uid="{73372BCF-EFFF-4EF5-814D-DFE11DDAB274}" name="ESTADO DEL SERVICIO" dataDxfId="495" totalsRowDxfId="494"/>
    <tableColumn id="18" xr3:uid="{DD91CCFD-9DFE-47D4-940F-2D02FD2B7CE2}" name="FECHA DE RELACION DEL SERVICIO" dataDxfId="493" totalsRowDxfId="492"/>
    <tableColumn id="19" xr3:uid="{BFD2664E-4D1B-4B0B-BC71-807C94F0E6FC}" name="NOTAS " totalsRowFunction="count" dataDxfId="491" totalsRowDxfId="490"/>
  </tableColumns>
  <tableStyleInfo name="TableStyleLight8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784F1D-3DAA-4FF6-85B6-3A868655D2FD}" name="Tabla14" displayName="Tabla14" ref="A1:S41" totalsRowCount="1" headerRowDxfId="489" dataDxfId="488">
  <autoFilter ref="A1:S40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D523D64C-D57B-4626-90E7-FD0731011868}" name="FECHA" totalsRowLabel="Total" dataDxfId="487" totalsRowDxfId="486"/>
    <tableColumn id="2" xr3:uid="{147E84AE-230D-4E00-80B5-3E175839785C}" name="DIRECCION" dataDxfId="485"/>
    <tableColumn id="3" xr3:uid="{3352E7E0-D480-4180-AA74-29C468449217}" name="NOMBRE CLIENTE" dataDxfId="484" totalsRowDxfId="483"/>
    <tableColumn id="4" xr3:uid="{66F0647C-9F9F-44D6-B3DE-58982017DBD4}" name="TORRE/APTO" dataDxfId="482"/>
    <tableColumn id="5" xr3:uid="{1FFB20B8-9F63-4AA2-B6BF-230DE6C71698}" name="SERVICIO REALIZADO" dataDxfId="481" totalsRowDxfId="480"/>
    <tableColumn id="6" xr3:uid="{32435D80-CF43-4695-836B-3E9A2B56C146}" name="DOMICILIO" dataDxfId="479" totalsRowDxfId="478" dataCellStyle="Millares"/>
    <tableColumn id="7" xr3:uid="{85FD1E33-5A46-4C12-B448-BC9121DA9739}" name="VALOR SERVICIO" dataDxfId="477" totalsRowDxfId="476"/>
    <tableColumn id="8" xr3:uid="{5D7C958E-4915-4369-8EB9-1E81282E2545}" name="MATERIALES" dataDxfId="475" totalsRowDxfId="474"/>
    <tableColumn id="9" xr3:uid="{88473CBA-440F-41A0-BA4B-A67CE687D394}" name="VALOR MATERIALES" dataDxfId="473" totalsRowDxfId="472" dataCellStyle="Moneda"/>
    <tableColumn id="10" xr3:uid="{953FDF9C-3ED4-41C5-BD3F-C7ADA7C18139}" name="IVA 19%" dataDxfId="471"/>
    <tableColumn id="11" xr3:uid="{ECD176BE-4CE1-47E9-B4E5-6A846728A5AE}" name="PORTERIA" dataDxfId="470" totalsRowDxfId="469"/>
    <tableColumn id="12" xr3:uid="{65743FE3-B63C-43CD-A2D4-E44B9380207A}" name="FORMA DE PAGO " dataDxfId="468"/>
    <tableColumn id="13" xr3:uid="{2894C387-3068-4F17-A263-09DAF947A9A9}" name="TOTAL SERVICIO" dataDxfId="467" totalsRowDxfId="466">
      <calculatedColumnFormula>(F2+G2-I2-K2)</calculatedColumnFormula>
    </tableColumn>
    <tableColumn id="14" xr3:uid="{307F89ED-6745-41FB-97EA-3BECAD196C8B}" name="X50%/X25%" dataDxfId="465" totalsRowDxfId="464"/>
    <tableColumn id="15" xr3:uid="{97E95D22-B758-46B9-9059-F746F1106DD4}" name="PARA JG" dataDxfId="463" totalsRowDxfId="462">
      <calculatedColumnFormula>IF(N2="X25%",M2*0.25,IF(N2="X50%",M2/2,""))</calculatedColumnFormula>
    </tableColumn>
    <tableColumn id="16" xr3:uid="{2CB12610-BC89-41FE-96C4-CC02B13DF3BD}" name="PARA ABRECAR" dataDxfId="461" totalsRowDxfId="460">
      <calculatedColumnFormula>(M2/2+J2)</calculatedColumnFormula>
    </tableColumn>
    <tableColumn id="17" xr3:uid="{6E6D9331-E262-4A42-9E0B-5A30BF9A4281}" name="ESTADO DEL SERVICIO" dataDxfId="459" totalsRowDxfId="458"/>
    <tableColumn id="18" xr3:uid="{5D266FF0-995F-4DA9-8CE3-15BE0BBF8702}" name="FECHA DE RELACION DEL SERVICIO" dataDxfId="457" totalsRowDxfId="456"/>
    <tableColumn id="19" xr3:uid="{94DE83EA-515A-4C4F-83FD-17132BF224F6}" name="NOTAS " totalsRowFunction="count" dataDxfId="455" totalsRowDxfId="454"/>
  </tableColumns>
  <tableStyleInfo name="TableStyleLight8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39E001-6CC0-4E15-B866-F9D639064C10}" name="Tabla145" displayName="Tabla145" ref="A1:S41" totalsRowCount="1" headerRowDxfId="453" dataDxfId="452">
  <autoFilter ref="A1:S40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ED00B034-A028-49EB-A74F-7B380E5CAEF6}" name="FECHA" totalsRowLabel="Total" dataDxfId="451" totalsRowDxfId="450"/>
    <tableColumn id="2" xr3:uid="{56B21F16-EB7C-407B-9240-BA9C7E05EFB0}" name="DIRECCION" dataDxfId="449" totalsRowDxfId="448"/>
    <tableColumn id="3" xr3:uid="{91C78E48-D4D3-4FFC-91C7-B42DFC7FD50C}" name="NOMBRE CLIENTE" dataDxfId="447" totalsRowDxfId="446"/>
    <tableColumn id="4" xr3:uid="{31F67041-1F31-4308-8EC1-3DFBC27F3D0D}" name="TORRE/APTO" dataDxfId="445" totalsRowDxfId="444"/>
    <tableColumn id="5" xr3:uid="{F5228A9C-D31D-4E94-A276-2378C2DAF53A}" name="SERVICIO REALIZADO" dataDxfId="443" totalsRowDxfId="442"/>
    <tableColumn id="6" xr3:uid="{0307C712-1D29-4C68-80F4-DAC6765072D3}" name="DOMICILIO" dataDxfId="441" totalsRowDxfId="440" dataCellStyle="Millares"/>
    <tableColumn id="7" xr3:uid="{D8D9FF51-D262-4709-BD9C-E831827F7207}" name="VALOR SERVICIO" dataDxfId="439" totalsRowDxfId="438"/>
    <tableColumn id="8" xr3:uid="{59E14D4C-867E-42B7-B9D3-3F182E31BFD0}" name="MATERIALES" dataDxfId="437"/>
    <tableColumn id="9" xr3:uid="{F54B4CBC-743C-4A28-8FC4-AE9D671F04D0}" name="VALOR MATERIALES" dataDxfId="436" totalsRowDxfId="435"/>
    <tableColumn id="10" xr3:uid="{A2DC869C-EAE2-496B-8CF2-A8139DBA2C83}" name="IVA 19%" dataDxfId="434" totalsRowDxfId="433"/>
    <tableColumn id="11" xr3:uid="{9618C0AE-F9E6-4E83-A80E-51A561D98E94}" name="PORTERIA" dataDxfId="432" totalsRowDxfId="431"/>
    <tableColumn id="12" xr3:uid="{EFF6D41C-F2CB-48D3-A8D3-D264EA27CBBA}" name="FORMA DE PAGO" dataDxfId="430"/>
    <tableColumn id="13" xr3:uid="{A89B756E-94A8-47E8-84AD-90F416989867}" name="TOTAL SERVICIO" dataDxfId="429" totalsRowDxfId="428">
      <calculatedColumnFormula>(F2+G2-I2-K2)</calculatedColumnFormula>
    </tableColumn>
    <tableColumn id="14" xr3:uid="{AE9135BF-0D6C-4959-A69E-3E5C5D042E28}" name="X50%/X25%" dataDxfId="427" totalsRowDxfId="426"/>
    <tableColumn id="15" xr3:uid="{491B938F-932C-468D-86FC-2BBA0DA2DBE9}" name="PARA JG" dataDxfId="425" totalsRowDxfId="424">
      <calculatedColumnFormula>IF(N2="X25%",M2*0.25,IF(N2="X50%",M2/2,""))</calculatedColumnFormula>
    </tableColumn>
    <tableColumn id="16" xr3:uid="{D9977CB5-BC79-4024-846C-31F6F3A4CCFF}" name="PARA ABRECAR" dataDxfId="423" totalsRowDxfId="422">
      <calculatedColumnFormula>(M2/2+J2)</calculatedColumnFormula>
    </tableColumn>
    <tableColumn id="17" xr3:uid="{9B83594D-3936-4AF7-AFF5-DBC863A11601}" name="ESTADO DEL SERVICIO" dataDxfId="421" totalsRowDxfId="420"/>
    <tableColumn id="18" xr3:uid="{9DBF688E-505C-4510-AD7C-F9790F220EDA}" name="FECHA DE RELACION DEL SERVICIO" dataDxfId="419" totalsRowDxfId="418"/>
    <tableColumn id="19" xr3:uid="{309DC330-D156-42EE-8C7B-5CCA53126BD9}" name="NOTAS " totalsRowFunction="count" dataDxfId="417" totalsRowDxfId="416"/>
  </tableColumns>
  <tableStyleInfo name="TableStyleLight8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881273-217F-47F1-8A2C-EBBCB223955A}" name="Tabla1456" displayName="Tabla1456" ref="A1:S41" totalsRowCount="1" headerRowDxfId="415" dataDxfId="414">
  <autoFilter ref="A1:S40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0C3D997B-8408-42BF-B9C7-9515D4AE156B}" name="FECHA" totalsRowLabel="Total" dataDxfId="413" totalsRowDxfId="412"/>
    <tableColumn id="2" xr3:uid="{6C918646-A8EB-433F-9FFD-93B416CB88FB}" name="DIRECCION" dataDxfId="411" totalsRowDxfId="410"/>
    <tableColumn id="3" xr3:uid="{9F532EF3-F7D3-405B-AC54-2E37EEBA12E9}" name="NOMBRE CLIENTE" dataDxfId="409" totalsRowDxfId="408"/>
    <tableColumn id="4" xr3:uid="{90648A10-62D5-431B-B3E5-B3DC6B0EB11F}" name="TORRE/APTO" dataDxfId="407"/>
    <tableColumn id="5" xr3:uid="{AE19AAEF-9918-4095-B65A-D9AA41E7391D}" name="SERVICIO REALIZADO" dataDxfId="406" totalsRowDxfId="405"/>
    <tableColumn id="6" xr3:uid="{DFBC4C92-256F-400E-9134-202E9652C8DF}" name="DOMICILIO" dataDxfId="404" totalsRowDxfId="403" dataCellStyle="Millares"/>
    <tableColumn id="7" xr3:uid="{6909FC11-08AC-4E7B-9C7A-87CC51E4258E}" name="VALOR SERVICIO" dataDxfId="402" totalsRowDxfId="401"/>
    <tableColumn id="8" xr3:uid="{E376ADB2-7061-4F12-8B60-24E29AA1CA7E}" name="MATERIALES" dataDxfId="400"/>
    <tableColumn id="9" xr3:uid="{02DE4204-9C5C-4CE3-A2C8-3344F0FFA0DF}" name="VALOR MATERIALES" dataDxfId="399" totalsRowDxfId="398"/>
    <tableColumn id="10" xr3:uid="{122AE0D8-1F8F-45DB-AD40-9D3EB12570F7}" name="IVA 19%" dataDxfId="397" totalsRowDxfId="396"/>
    <tableColumn id="11" xr3:uid="{7F9337DF-A066-47B1-BF46-BA371040214D}" name="PORTERIA" dataDxfId="395" totalsRowDxfId="394"/>
    <tableColumn id="12" xr3:uid="{3CDD930A-C085-4794-95CA-22C887949175}" name="FORMA DE PAGO" dataDxfId="393"/>
    <tableColumn id="13" xr3:uid="{F48495AF-F6C9-49C3-B2EF-37493691FD1F}" name="TOTAL SERVICIO" dataDxfId="392" totalsRowDxfId="391">
      <calculatedColumnFormula>(F2+G2-I2-K2)</calculatedColumnFormula>
    </tableColumn>
    <tableColumn id="14" xr3:uid="{0E264A16-9366-478D-BFDA-A1EC5DEF28F8}" name="X50%/X25%" dataDxfId="390" totalsRowDxfId="389"/>
    <tableColumn id="15" xr3:uid="{CDD3C1B0-7C9B-4B45-A89B-3E915E39435F}" name="PARA JG" dataDxfId="388" totalsRowDxfId="387">
      <calculatedColumnFormula>IF(N2="X25%",M2*0.25,IF(N2="X50%",M2/2,""))</calculatedColumnFormula>
    </tableColumn>
    <tableColumn id="16" xr3:uid="{174EF292-3C67-4C49-9A52-8FE4A18E7B12}" name="PARA ABRECAR" dataDxfId="386" totalsRowDxfId="385">
      <calculatedColumnFormula>(M2/2+J2)</calculatedColumnFormula>
    </tableColumn>
    <tableColumn id="17" xr3:uid="{379B4F42-6BC6-41DE-81C7-5D50E0C5241A}" name="ESTADO DEL SERVICIO" dataDxfId="384" totalsRowDxfId="383"/>
    <tableColumn id="18" xr3:uid="{1216CEED-DB81-4C1C-9006-3BC156C3217C}" name="FECHA DE RELACION DEL SERVICIO" dataDxfId="382" totalsRowDxfId="381"/>
    <tableColumn id="19" xr3:uid="{75B8623C-4968-4E88-B6B7-5E69821F737F}" name="NOTAS " totalsRowFunction="count" dataDxfId="380" totalsRowDxfId="379"/>
  </tableColumns>
  <tableStyleInfo name="TableStyleLight8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846E70-E2BF-4CEF-B095-8D839C371C7F}" name="Tabla14567" displayName="Tabla14567" ref="A1:S42" totalsRowCount="1" headerRowDxfId="378" dataDxfId="377">
  <autoFilter ref="A1:S41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714DB627-597B-40F5-8DE6-1DF144AE6820}" name="FECHA" totalsRowLabel="Total" dataDxfId="376" totalsRowDxfId="375"/>
    <tableColumn id="2" xr3:uid="{88D21434-5D0F-4674-BDEE-8CC0788915A4}" name="DIRECCION" dataDxfId="374" totalsRowDxfId="373"/>
    <tableColumn id="3" xr3:uid="{E32BD3E8-BF18-49DA-B123-76C0756BD1DA}" name="NOMBRE CLIENTE" dataDxfId="372" totalsRowDxfId="371"/>
    <tableColumn id="4" xr3:uid="{3517C161-445C-4B3B-A68F-9A3C268787D3}" name="TORRE/APTO" dataDxfId="370"/>
    <tableColumn id="5" xr3:uid="{C553111C-29C6-4403-BC45-908AAB0EC04A}" name="SERVICIO REALIZADO" dataDxfId="369" totalsRowDxfId="368"/>
    <tableColumn id="6" xr3:uid="{DCE8AFCA-7869-4358-9104-4112D5020EC4}" name="DOMICILIO" dataDxfId="367" totalsRowDxfId="366" dataCellStyle="Millares"/>
    <tableColumn id="7" xr3:uid="{3F978537-BB51-40F4-A7F2-A73D8F8A934F}" name="VALOR SERVICIO" dataDxfId="365" totalsRowDxfId="364"/>
    <tableColumn id="8" xr3:uid="{0A59C17C-D158-428B-8387-E0EDB61CB196}" name="MATERIALES" dataDxfId="363" totalsRowDxfId="362"/>
    <tableColumn id="9" xr3:uid="{903BA4C8-A3C2-4E6F-BECE-BA4D82ED9611}" name="VALOR MATERIALES" dataDxfId="361" totalsRowDxfId="360"/>
    <tableColumn id="10" xr3:uid="{B568D9A1-4F65-4F8C-BC98-5CE19A1E6002}" name="IVA 19%" dataDxfId="359" totalsRowDxfId="358"/>
    <tableColumn id="11" xr3:uid="{9FD03442-E4B8-4F4A-8C4F-E0D085CBE3A2}" name="PORTERIA" dataDxfId="357" totalsRowDxfId="356"/>
    <tableColumn id="12" xr3:uid="{60F0AE71-17A3-47C4-928E-B9444D1DEBB5}" name="FORMA DE PAGO " dataDxfId="355"/>
    <tableColumn id="13" xr3:uid="{5E7335A0-FEF6-4BA1-9F7D-BE383E43CAAC}" name="TOTAL SERVICIO" dataDxfId="354" totalsRowDxfId="353">
      <calculatedColumnFormula>(F2+G2-I2-K2)</calculatedColumnFormula>
    </tableColumn>
    <tableColumn id="14" xr3:uid="{A914A3D7-F0BB-4E54-9212-06F2668F4DFF}" name="X50%/X25%" dataDxfId="352" totalsRowDxfId="351"/>
    <tableColumn id="15" xr3:uid="{5023FD9C-2775-4C44-9E67-4C241072F6BE}" name="PARA JG" dataDxfId="350" totalsRowDxfId="349">
      <calculatedColumnFormula>IF(N2="X25%",M2*0.25,IF(N2="X50%",M2/2,""))</calculatedColumnFormula>
    </tableColumn>
    <tableColumn id="16" xr3:uid="{3CC141E2-AFA4-4913-BAED-ECA337F162B7}" name="PARA ABRECAR" dataDxfId="348" totalsRowDxfId="347">
      <calculatedColumnFormula>(M2/2+J2)</calculatedColumnFormula>
    </tableColumn>
    <tableColumn id="17" xr3:uid="{1E630320-304C-437A-998F-E65910F1430C}" name="ESTADO DEL SERVICIO" dataDxfId="346" totalsRowDxfId="345"/>
    <tableColumn id="18" xr3:uid="{00C6F989-EF5E-4069-B3D3-40B157EDE350}" name="FECHA DE RELACION DEL SERVICIO" dataDxfId="344" totalsRowDxfId="343"/>
    <tableColumn id="19" xr3:uid="{744C0FA0-167F-4300-99A8-FFE7F1929262}" name="NOTAS " totalsRowFunction="count" dataDxfId="342" totalsRowDxfId="341"/>
  </tableColumns>
  <tableStyleInfo name="TableStyleLight8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33D6D7-B829-4CFA-9D4A-3FA737BF65AA}" name="Tabla145678" displayName="Tabla145678" ref="A1:S41" totalsRowCount="1" headerRowDxfId="340" dataDxfId="339">
  <autoFilter ref="A1:S40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E07C9A3C-C6D8-464B-8EF5-F396FABA9BE1}" name="FECHA" totalsRowLabel="Total" dataDxfId="338" totalsRowDxfId="337"/>
    <tableColumn id="2" xr3:uid="{1A6A098E-D952-499C-96ED-9C233D840939}" name="DIRECCION" dataDxfId="336" totalsRowDxfId="335"/>
    <tableColumn id="3" xr3:uid="{D0010E5F-68B1-47A3-9F2E-4B18AEE9783B}" name="NOMBRE CLIENTE" dataDxfId="334" totalsRowDxfId="333"/>
    <tableColumn id="4" xr3:uid="{F76E2A6E-B436-49AB-AB58-87E162A07E6E}" name="TORRE/APTO" dataDxfId="332"/>
    <tableColumn id="5" xr3:uid="{0AA2230E-5D5F-4272-A0DE-2F7507DFCB67}" name="SERVICIO REALIZADO" dataDxfId="331" totalsRowDxfId="330"/>
    <tableColumn id="6" xr3:uid="{F83C533A-63E6-47E8-B4E1-77C3349AE848}" name="DOMICILIO" dataDxfId="329" totalsRowDxfId="328" dataCellStyle="Millares"/>
    <tableColumn id="7" xr3:uid="{1C4F10E4-765A-4645-8374-D9F556D558D6}" name="VALOR SERVICIO" dataDxfId="327" totalsRowDxfId="326"/>
    <tableColumn id="8" xr3:uid="{38224342-79B1-43DE-8EEE-D0F522F52784}" name="MATERIALES" dataDxfId="325" totalsRowDxfId="324"/>
    <tableColumn id="9" xr3:uid="{2EB3AA1F-8E31-4F7D-A59E-7886D2D80133}" name="VALOR MATERIALES" dataDxfId="323" totalsRowDxfId="322"/>
    <tableColumn id="10" xr3:uid="{EDE45CFF-8F0A-4729-AC59-2F1A7E7E665B}" name="IVA 19%" dataDxfId="321" totalsRowDxfId="320"/>
    <tableColumn id="11" xr3:uid="{9F85F552-1AEA-4C75-B7BC-601D6ECE3576}" name="PORTERIA" dataDxfId="319" totalsRowDxfId="318"/>
    <tableColumn id="12" xr3:uid="{D94F26F3-BBDD-4540-B34F-A1931149813F}" name="FORMA DE PAGO " dataDxfId="317"/>
    <tableColumn id="13" xr3:uid="{FD33B67F-7E7B-4AE3-83E7-03842134137F}" name="TOTAL SERVICIO" dataDxfId="316" totalsRowDxfId="315">
      <calculatedColumnFormula>(F2+G2-I2-K2)</calculatedColumnFormula>
    </tableColumn>
    <tableColumn id="14" xr3:uid="{574DE4C9-9D95-4D52-ACBB-99EA290AF592}" name="X50%/X25%" dataDxfId="314" totalsRowDxfId="313"/>
    <tableColumn id="15" xr3:uid="{19F5BE5D-091E-4103-A27C-7E02BB116F54}" name="PARA JG" dataDxfId="312" totalsRowDxfId="311">
      <calculatedColumnFormula>IF(N2="X25%",M2*0.25,IF(N2="X50%",M2/2,""))</calculatedColumnFormula>
    </tableColumn>
    <tableColumn id="16" xr3:uid="{F1F9C7C5-3D41-40E3-8489-1F206D47998D}" name="PARA ABRECAR" dataDxfId="310" totalsRowDxfId="309">
      <calculatedColumnFormula>(M2/2+J2)</calculatedColumnFormula>
    </tableColumn>
    <tableColumn id="17" xr3:uid="{A390A234-094F-4D7C-AF12-820395FEDB2B}" name="ESTADO DEL SERVICIO" dataDxfId="308" totalsRowDxfId="307"/>
    <tableColumn id="18" xr3:uid="{02F7B8DC-4A83-4AD7-BFD1-7C44F4CAA839}" name="FECHA DE RELACION DEL SERVICIO" dataDxfId="306" totalsRowDxfId="305"/>
    <tableColumn id="19" xr3:uid="{26B7AF6C-079B-4277-96A6-4BFD38BF0059}" name="NOTAS " totalsRowFunction="count" dataDxfId="304" totalsRowDxfId="303"/>
  </tableColumns>
  <tableStyleInfo name="TableStyleLight8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6570DD-72C3-4211-9F4B-38B695E2EB20}" name="Tabla1456789" displayName="Tabla1456789" ref="A1:S41" totalsRowCount="1" headerRowDxfId="302" dataDxfId="301">
  <autoFilter ref="A1:S40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3B888F1E-FD67-4F86-AA29-2A965EAFE3C4}" name="FECHA" totalsRowLabel="Total" dataDxfId="300" totalsRowDxfId="299"/>
    <tableColumn id="2" xr3:uid="{7EF15A70-0B3B-4420-9167-C7DE9525619E}" name="DIRECCION" dataDxfId="298" totalsRowDxfId="297"/>
    <tableColumn id="3" xr3:uid="{CF8A193F-3F32-495E-8083-92DCDAE2E9C4}" name="NOMBRE CLIENTE" dataDxfId="296" totalsRowDxfId="295"/>
    <tableColumn id="4" xr3:uid="{D56B7752-FB26-4F5C-A7E4-ED5083929D15}" name="TORRE/APTO" dataDxfId="294" totalsRowDxfId="293"/>
    <tableColumn id="5" xr3:uid="{B830E389-3B8E-41EB-ACE7-74A4840C91A9}" name="SERVICIO REALIZADO" dataDxfId="292" totalsRowDxfId="291"/>
    <tableColumn id="6" xr3:uid="{4D7549D5-F072-4573-8E2F-F2B4062586CE}" name="DOMICILIO" dataDxfId="290" totalsRowDxfId="289" dataCellStyle="Millares"/>
    <tableColumn id="7" xr3:uid="{44BE91C0-C27A-4436-B0D9-494C81481BD9}" name="VALOR SERVICIO" dataDxfId="288" totalsRowDxfId="287"/>
    <tableColumn id="8" xr3:uid="{E15FF744-2BD7-421C-9D41-D742D1B5FE8C}" name="MATERIALES" dataDxfId="286" totalsRowDxfId="285"/>
    <tableColumn id="9" xr3:uid="{34230311-5EB0-4564-A8FF-85B470F2351F}" name="VALOR MATERIALES" dataDxfId="284" totalsRowDxfId="283"/>
    <tableColumn id="10" xr3:uid="{A52B9B2D-6D58-41C4-9DAD-81D21868B2F4}" name="IVA 19%" dataDxfId="282" totalsRowDxfId="281"/>
    <tableColumn id="11" xr3:uid="{E5CB6D2A-48AD-4BBE-89DD-DC2C080E54E3}" name="PORTERIA" dataDxfId="280" totalsRowDxfId="279"/>
    <tableColumn id="12" xr3:uid="{5A3C93C6-6D8A-4CEC-9AD7-6622B5583AB4}" name="FORMA DE PAGO " dataDxfId="278"/>
    <tableColumn id="13" xr3:uid="{D43E7292-D975-47ED-922A-20C879B75B71}" name="TOTAL SERVICIO" dataDxfId="277" totalsRowDxfId="276">
      <calculatedColumnFormula>(F2+G2-I2-K2)</calculatedColumnFormula>
    </tableColumn>
    <tableColumn id="14" xr3:uid="{A183837E-B67E-4FF9-B707-B5FB3439F80A}" name="X50%/X25%" dataDxfId="275" totalsRowDxfId="274"/>
    <tableColumn id="15" xr3:uid="{686A4845-69ED-4068-9B0C-2A8D30EAE21C}" name="PARA JG" dataDxfId="273" totalsRowDxfId="272">
      <calculatedColumnFormula>IF(N2="X25%",M2*0.25,IF(N2="X50%",M2/2,""))</calculatedColumnFormula>
    </tableColumn>
    <tableColumn id="16" xr3:uid="{F8654BA2-147E-4B02-B8AD-A3ABCA9FD8B8}" name="PARA ABRECAR" dataDxfId="271" totalsRowDxfId="270">
      <calculatedColumnFormula>(M2/2+J2)</calculatedColumnFormula>
    </tableColumn>
    <tableColumn id="17" xr3:uid="{4662DB30-1134-4599-9275-B92F7899D3ED}" name="ESTADO DEL SERVICIO" dataDxfId="269" totalsRowDxfId="268"/>
    <tableColumn id="18" xr3:uid="{6542B359-24E7-4738-BCEA-B75973A57699}" name="FECHA DE RELACION DEL SERVICIO" dataDxfId="267" totalsRowDxfId="266"/>
    <tableColumn id="19" xr3:uid="{A450A664-4EBD-4D5A-87FD-564564C00EDB}" name="NOTAS " totalsRowFunction="count" dataDxfId="265" totalsRowDxfId="264"/>
  </tableColumns>
  <tableStyleInfo name="TableStyleLight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D16E0DC-174B-4352-8C49-C57F1352E89E}" name="Tabla145678910" displayName="Tabla145678910" ref="A1:S41" totalsRowCount="1" headerRowDxfId="263" dataDxfId="262">
  <autoFilter ref="A1:S40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C2D31F11-B0BA-45D5-A040-55DD65048FCC}" name="FECHA" totalsRowLabel="Total" dataDxfId="261" totalsRowDxfId="260"/>
    <tableColumn id="2" xr3:uid="{B04728B5-7F2E-44D9-B119-EB74F66021FF}" name="DIRECCION" dataDxfId="259" totalsRowDxfId="258"/>
    <tableColumn id="3" xr3:uid="{34B0BF1B-1E1D-4372-8717-57CDDED3EB64}" name="NOMBRE CLIENTE" dataDxfId="257" totalsRowDxfId="256"/>
    <tableColumn id="4" xr3:uid="{967AF0A4-2F6B-4902-9EE6-06F9B0ACEC7A}" name="TORRE/APTO" dataDxfId="255"/>
    <tableColumn id="5" xr3:uid="{B7841EF7-1A13-48C8-9A8F-D8ECA1354F32}" name="SERVICIO REALIZADO" dataDxfId="254" totalsRowDxfId="253"/>
    <tableColumn id="6" xr3:uid="{A5BD60C3-0F5D-4F7B-93D1-EAD5F5FF1B0B}" name="DOMICILIO" dataDxfId="252" totalsRowDxfId="251" dataCellStyle="Millares"/>
    <tableColumn id="7" xr3:uid="{FE128F0E-0F30-41E9-92BC-73866EC54093}" name="VALOR SERVICIO" dataDxfId="250" totalsRowDxfId="249"/>
    <tableColumn id="8" xr3:uid="{DBFFBE5A-0B3E-47AA-B221-A8BE3A93FA28}" name="MATERIALES" dataDxfId="248" totalsRowDxfId="247"/>
    <tableColumn id="9" xr3:uid="{E9AB51AF-E4E3-40DA-AB54-3DB3F1C528DD}" name="VALOR MATERIALES" dataDxfId="246" totalsRowDxfId="245"/>
    <tableColumn id="10" xr3:uid="{0743077C-2C9E-4460-A4B5-D885E65A0FDD}" name="IVA 19%" dataDxfId="244" totalsRowDxfId="243"/>
    <tableColumn id="11" xr3:uid="{5A1B6F72-1F83-47CD-8CB7-E840972ECC16}" name="PORTERIA" dataDxfId="242" totalsRowDxfId="241"/>
    <tableColumn id="12" xr3:uid="{85785C1E-0B1B-4AE4-9899-F57CBFBDFCAB}" name="FORMA DE PAGO " dataDxfId="240"/>
    <tableColumn id="13" xr3:uid="{14E1E447-46F1-4DAB-8DAF-E7F4E090CDF7}" name="TOTAL SERVICIO" dataDxfId="239" totalsRowDxfId="238">
      <calculatedColumnFormula>(F2+G2-I2-K2)</calculatedColumnFormula>
    </tableColumn>
    <tableColumn id="14" xr3:uid="{D122C8FB-7087-4CB5-A785-D8505B2DF602}" name="X50%/X25%" dataDxfId="237" totalsRowDxfId="236"/>
    <tableColumn id="15" xr3:uid="{3B9C0FF4-0A40-425E-AF56-D6DD8681A011}" name="PARA JG" dataDxfId="235" totalsRowDxfId="234">
      <calculatedColumnFormula>IF(N2="X25%",M2*0.25,IF(N2="X50%",M2/2,""))</calculatedColumnFormula>
    </tableColumn>
    <tableColumn id="16" xr3:uid="{24D7D408-20DD-481D-ADD8-31427D9706CB}" name="PARA ABRECAR" dataDxfId="233" totalsRowDxfId="232">
      <calculatedColumnFormula>(M2/2+J2)</calculatedColumnFormula>
    </tableColumn>
    <tableColumn id="17" xr3:uid="{3E22CA66-02BA-4F3A-BC78-1C5E81DF6614}" name="ESTADO DEL SERVICIO" dataDxfId="231" totalsRowDxfId="230"/>
    <tableColumn id="18" xr3:uid="{BC2DF013-F795-4D1C-9028-1375AF4523CB}" name="FECHA DE RELACION DEL SERVICIO" dataDxfId="229" totalsRowDxfId="228"/>
    <tableColumn id="19" xr3:uid="{72057D85-7D90-4121-8CBD-7448786FF9BC}" name="NOTAS " totalsRowFunction="count" dataDxfId="227" totalsRowDxfId="226"/>
  </tableColumns>
  <tableStyleInfo name="TableStyleLight8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3DC7B56-6A27-47EA-8A62-6146CB27CD41}" name="Tabla14567891011" displayName="Tabla14567891011" ref="A1:S42" totalsRowCount="1" headerRowDxfId="225" dataDxfId="224">
  <autoFilter ref="A1:S41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94F08EE5-D270-4BBA-BFF0-760C6EE7067B}" name="FECHA" totalsRowLabel="Total" dataDxfId="223" totalsRowDxfId="222"/>
    <tableColumn id="2" xr3:uid="{4C53B68C-163E-46DC-B529-42A48BCB11F4}" name="DIRECCION" dataDxfId="221" totalsRowDxfId="220"/>
    <tableColumn id="3" xr3:uid="{79BD3134-74F1-4163-BEA0-1250C669D816}" name="NOMBRE CLIENTE" dataDxfId="219" totalsRowDxfId="218"/>
    <tableColumn id="4" xr3:uid="{9B7351AF-69A8-42A0-88CF-7F1D324558CD}" name="TORRE/APTO" dataDxfId="217" totalsRowDxfId="216"/>
    <tableColumn id="5" xr3:uid="{3FC795B0-64D5-412F-967D-88FDCE6188CC}" name="SERVICIO REALIZADO" dataDxfId="215" totalsRowDxfId="214"/>
    <tableColumn id="6" xr3:uid="{F8E4C084-C1E1-410A-9AB8-48E3E1C03449}" name="DOMICILIO" dataDxfId="213" totalsRowDxfId="212" dataCellStyle="Millares"/>
    <tableColumn id="7" xr3:uid="{3923866B-5E04-4E69-B31A-D524F1DB0AAC}" name="VALOR SERVICIO" dataDxfId="211" totalsRowDxfId="210"/>
    <tableColumn id="8" xr3:uid="{8D9C03FA-D5F4-4C9D-B0D6-0B3FE724EB6D}" name="MATERIALES" dataDxfId="209"/>
    <tableColumn id="9" xr3:uid="{416A2E87-138A-49CF-B9F5-D318A063AD9F}" name="VALOR MATERIALES" dataDxfId="208" totalsRowDxfId="207"/>
    <tableColumn id="10" xr3:uid="{A82F5C41-8889-4BC2-8CD0-E17F28FC8B69}" name="IVA 19%" dataDxfId="206" totalsRowDxfId="205"/>
    <tableColumn id="11" xr3:uid="{8AE9AA77-4CCE-4933-9E37-2424517466ED}" name="PORTERIA" dataDxfId="204" totalsRowDxfId="203"/>
    <tableColumn id="12" xr3:uid="{9AEF8C4D-8BF9-4E7D-B1C4-77744EC693C7}" name="FORMA DE PAGO " dataDxfId="202"/>
    <tableColumn id="13" xr3:uid="{E6A473EB-A02F-4383-8D91-3F21721D15F3}" name="TOTAL SERVICIO" dataDxfId="201" totalsRowDxfId="200">
      <calculatedColumnFormula>(F2+G2-I2-K2)</calculatedColumnFormula>
    </tableColumn>
    <tableColumn id="14" xr3:uid="{D278A045-9615-406B-B68A-49A1BAA68123}" name="X50%/X25%" dataDxfId="199" totalsRowDxfId="198"/>
    <tableColumn id="15" xr3:uid="{27DD6F2B-55CE-4F91-802C-767D2081AE8F}" name="PARA JG" dataDxfId="197" totalsRowDxfId="196">
      <calculatedColumnFormula>IF(N2="X25%",M2*0.25,IF(N2="X50%",M2/2,""))</calculatedColumnFormula>
    </tableColumn>
    <tableColumn id="16" xr3:uid="{A3F60C5A-D316-497E-B0E4-A3F9BAD84525}" name="PARA ABRECAR" dataDxfId="195" totalsRowDxfId="194">
      <calculatedColumnFormula>(M2/2+J2)</calculatedColumnFormula>
    </tableColumn>
    <tableColumn id="17" xr3:uid="{10CB3E58-1A46-4C24-BA4F-AC5B36B8FF91}" name="ESTADO DEL SERVICIO" dataDxfId="193" totalsRowDxfId="192"/>
    <tableColumn id="18" xr3:uid="{8BFE1AAE-4E74-4C50-BDE1-0DB10D889E57}" name="FECHA DE RELACION DEL SERVICIO" dataDxfId="191" totalsRowDxfId="190"/>
    <tableColumn id="19" xr3:uid="{206EECE6-638F-4588-8E77-382586BB3883}" name="NOTAS " totalsRowFunction="count" dataDxfId="189" totalsRowDxfId="188"/>
  </tableColumns>
  <tableStyleInfo name="TableStyleLight8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AE932D-094A-412C-ACB3-D50B4144C427}" name="Tabla1456789101112" displayName="Tabla1456789101112" ref="A1:S41" totalsRowCount="1" headerRowDxfId="187" dataDxfId="186">
  <autoFilter ref="A1:S40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A4610472-FCCC-49A0-A01F-092A0D751A98}" name="FECHA" totalsRowLabel="Total" dataDxfId="185" totalsRowDxfId="184"/>
    <tableColumn id="2" xr3:uid="{F9E90005-75E9-4DFD-BEDF-137ACD9E05E4}" name="DIRECCION" dataDxfId="183" totalsRowDxfId="182"/>
    <tableColumn id="3" xr3:uid="{F27B45B3-7483-405C-8490-165648DB5719}" name="NOMBRE CLIENTE" dataDxfId="181" totalsRowDxfId="180"/>
    <tableColumn id="4" xr3:uid="{0FACF2B2-755C-4F0C-BA8A-14DC07017FD9}" name="TORRE/APTO" dataDxfId="179"/>
    <tableColumn id="5" xr3:uid="{00E06524-BE36-4FF3-976B-47960F284CE0}" name="SERVICIO REALIZADO" dataDxfId="178" totalsRowDxfId="177"/>
    <tableColumn id="6" xr3:uid="{5E93EC92-00AD-4B71-80D9-5F0B68DA5499}" name="DOMICILIO" dataDxfId="176" totalsRowDxfId="175" dataCellStyle="Millares"/>
    <tableColumn id="7" xr3:uid="{FF6104F0-B72E-428D-8D64-20449974A374}" name="VALOR SERVICIO" dataDxfId="174" totalsRowDxfId="173"/>
    <tableColumn id="8" xr3:uid="{CBA086A4-170D-485A-BDFD-EA146BD0B019}" name="MATERIALES" dataDxfId="172"/>
    <tableColumn id="9" xr3:uid="{21A2EE02-A6EA-4899-886D-AFD1BA8755C3}" name="VALOR MATERIALES" dataDxfId="171" totalsRowDxfId="170"/>
    <tableColumn id="10" xr3:uid="{1D00EAAB-65B1-4167-A677-7DFEA1816D65}" name="IVA 19%" dataDxfId="169" totalsRowDxfId="168"/>
    <tableColumn id="11" xr3:uid="{2009E649-7D60-4DDB-8525-08B12BD6FA59}" name="PORTERIA" dataDxfId="167" totalsRowDxfId="166"/>
    <tableColumn id="12" xr3:uid="{54BC3D94-5458-4653-8053-00D38144E7B3}" name="FORMA DE PAGO " dataDxfId="165"/>
    <tableColumn id="13" xr3:uid="{A1498961-0B31-4EC8-87A8-0CA896C0FA28}" name="TOTAL SERVICIO" dataDxfId="164" totalsRowDxfId="163">
      <calculatedColumnFormula>(F2+G2-I2-K2)</calculatedColumnFormula>
    </tableColumn>
    <tableColumn id="14" xr3:uid="{DCA18CC6-6586-4991-B645-0EFDB3C671BA}" name="X50%/X25%" dataDxfId="162" totalsRowDxfId="161"/>
    <tableColumn id="15" xr3:uid="{EBD3F72E-644C-4987-97C9-741E83FF57A3}" name="PARA JG" dataDxfId="160" totalsRowDxfId="159">
      <calculatedColumnFormula>IF(N2="X25%",M2*0.25,IF(N2="X50%",M2/2,""))</calculatedColumnFormula>
    </tableColumn>
    <tableColumn id="16" xr3:uid="{582650E7-2FDF-4443-B176-6BD13705FC6A}" name="PARA ABRECAR" dataDxfId="158" totalsRowDxfId="157">
      <calculatedColumnFormula>(M2/2+J2)</calculatedColumnFormula>
    </tableColumn>
    <tableColumn id="17" xr3:uid="{C9C0844F-A579-409B-A3CA-4CABDCA9A7E7}" name="ESTADO DEL SERVICIO" dataDxfId="156" totalsRowDxfId="155"/>
    <tableColumn id="18" xr3:uid="{9BE8DE12-7A02-496D-8A4C-CF6A0FC21298}" name="FECHA DE RELACION DEL SERVICIO" dataDxfId="154" totalsRowDxfId="153"/>
    <tableColumn id="19" xr3:uid="{D05F4CC4-F427-42DD-B60E-F5C5874B0A10}" name="NOTAS " totalsRowFunction="count" dataDxfId="152" totalsRowDxfId="151"/>
  </tableColumns>
  <tableStyleInfo name="TableStyleLight8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F269EC-EC4E-479C-AE4F-1A1087AFCEE8}" name="Tabla145678910111213" displayName="Tabla145678910111213" ref="A1:S41" totalsRowCount="1" headerRowDxfId="150" dataDxfId="149">
  <autoFilter ref="A1:S40" xr:uid="{3F2D5825-CFDA-4ADD-8BFF-F4D8F9B374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5055830B-9862-472C-85F0-117E805E707D}" name="FECHA" totalsRowLabel="Total" dataDxfId="148" totalsRowDxfId="15"/>
    <tableColumn id="2" xr3:uid="{689C0FB3-87A6-4631-B1F6-2F9FCAA7E7B1}" name="DIRECCION" dataDxfId="147" totalsRowDxfId="14"/>
    <tableColumn id="3" xr3:uid="{C1D134A7-FB44-4236-BBB6-7369A781153D}" name="NOMBRE CLIENTE" dataDxfId="146" totalsRowDxfId="13"/>
    <tableColumn id="4" xr3:uid="{BD93EBE9-5715-4A8F-8BCE-7ED7B4E1EE00}" name="TORRE/APTO" dataDxfId="145"/>
    <tableColumn id="5" xr3:uid="{D8732EE5-4B90-470C-AF7D-A9E30BB207AC}" name="SERVICIO REALIZADO" dataDxfId="144" totalsRowDxfId="12"/>
    <tableColumn id="6" xr3:uid="{AAF6961D-5DCD-413C-8B1C-ACEFB0A3CFD9}" name="DOMICILIO" dataDxfId="143" totalsRowDxfId="11" dataCellStyle="Millares"/>
    <tableColumn id="7" xr3:uid="{65ABEA60-8C9B-41B7-A56F-8019CBE25FF3}" name="VALOR SERVICIO" dataDxfId="142" totalsRowDxfId="10"/>
    <tableColumn id="8" xr3:uid="{37401935-4C50-4C18-9EE8-ACDC29848F03}" name="MATERIALES" dataDxfId="141"/>
    <tableColumn id="9" xr3:uid="{A93E3FC1-DC4F-4F49-A038-306F3DB5A2D6}" name="VALOR MATERIALES" dataDxfId="140" totalsRowDxfId="9"/>
    <tableColumn id="10" xr3:uid="{D4E56074-FD4E-417D-B429-880CC1DD6054}" name="IVA 19%" dataDxfId="139" totalsRowDxfId="8"/>
    <tableColumn id="11" xr3:uid="{A07BC7C7-BC63-43A4-A1DF-7229BD46E6AD}" name="PORTERIA" dataDxfId="138" totalsRowDxfId="7"/>
    <tableColumn id="12" xr3:uid="{2AFC385D-3407-49B7-BF00-60E625E847AA}" name="FORMA DE PAGO " dataDxfId="137"/>
    <tableColumn id="13" xr3:uid="{E2603AC2-0F91-4E56-9786-C317F0769BE6}" name="TOTAL SERVICIO" dataDxfId="136" totalsRowDxfId="6">
      <calculatedColumnFormula>(F2+G2-I2-K2)</calculatedColumnFormula>
    </tableColumn>
    <tableColumn id="14" xr3:uid="{FD5B7BBF-B716-48D2-B942-472BC782EC98}" name="X50%/X25%" dataDxfId="135" totalsRowDxfId="5"/>
    <tableColumn id="15" xr3:uid="{7D676C93-BA72-46B0-9F8A-8787870D86D0}" name="PARA JG" dataDxfId="134" totalsRowDxfId="4">
      <calculatedColumnFormula>IF(N2="X25%",M2*0.25,IF(N2="X50%",M2/2,""))</calculatedColumnFormula>
    </tableColumn>
    <tableColumn id="16" xr3:uid="{BE3B5891-889F-41B1-B172-6BB026E6D50C}" name="PARA ABRECAR" dataDxfId="133" totalsRowDxfId="3">
      <calculatedColumnFormula>(M2/2+J2)</calculatedColumnFormula>
    </tableColumn>
    <tableColumn id="17" xr3:uid="{A5F392B8-0A11-4121-9E91-E628125AA82C}" name="ESTADO DEL SERVICIO" dataDxfId="132" totalsRowDxfId="2"/>
    <tableColumn id="18" xr3:uid="{553C6916-0493-4196-B3C4-4AC2BD6C71D7}" name="FECHA DE RELACION DEL SERVICIO" dataDxfId="131" totalsRowDxfId="1"/>
    <tableColumn id="19" xr3:uid="{131F3898-DF9C-4BB0-BA07-9F2E882DFC9F}" name="NOTAS " totalsRowFunction="count" dataDxfId="130" totalsRowDxfId="0"/>
  </tableColumns>
  <tableStyleInfo name="TableStyleLight8" showFirstColumn="1" showLastColumn="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 /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 /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 /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 /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 /><Relationship Id="rId1" Type="http://schemas.openxmlformats.org/officeDocument/2006/relationships/printerSettings" Target="../printerSettings/printerSettings1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8AA9-2A2C-46FC-ACF3-C9EF5B96EACD}">
  <sheetPr codeName="Hoja1">
    <tabColor rgb="FFC00000"/>
  </sheetPr>
  <dimension ref="A1:AD41"/>
  <sheetViews>
    <sheetView topLeftCell="J1" zoomScale="97" zoomScaleNormal="100" workbookViewId="0">
      <selection activeCell="S17" sqref="S17"/>
    </sheetView>
  </sheetViews>
  <sheetFormatPr defaultColWidth="10.76171875" defaultRowHeight="15" x14ac:dyDescent="0.2"/>
  <cols>
    <col min="1" max="1" width="31.4765625" style="32" customWidth="1"/>
    <col min="2" max="2" width="21.7890625" bestFit="1" customWidth="1"/>
    <col min="3" max="3" width="16.8125" style="15" bestFit="1" customWidth="1"/>
    <col min="4" max="4" width="18.83203125" style="15" customWidth="1"/>
    <col min="5" max="5" width="34.03125" style="15" bestFit="1" customWidth="1"/>
    <col min="6" max="6" width="10.0859375" style="7" bestFit="1" customWidth="1"/>
    <col min="7" max="7" width="14.52734375" style="16" bestFit="1" customWidth="1"/>
    <col min="8" max="8" width="29.45703125" bestFit="1" customWidth="1"/>
    <col min="9" max="9" width="17.484375" style="10" bestFit="1" customWidth="1"/>
    <col min="10" max="10" width="7.53125" style="18" bestFit="1" customWidth="1"/>
    <col min="11" max="11" width="9.14453125" style="10" bestFit="1" customWidth="1"/>
    <col min="12" max="12" width="15.6015625" bestFit="1" customWidth="1"/>
    <col min="13" max="13" width="14.390625" style="10" bestFit="1" customWidth="1"/>
    <col min="14" max="14" width="10.76171875" style="9" bestFit="1" customWidth="1"/>
    <col min="15" max="15" width="13.1796875" style="10" customWidth="1"/>
    <col min="16" max="16" width="13.5859375" style="10" bestFit="1" customWidth="1"/>
    <col min="17" max="17" width="22.1953125" style="12" bestFit="1" customWidth="1"/>
    <col min="18" max="18" width="29.86328125" style="32" bestFit="1" customWidth="1"/>
    <col min="19" max="19" width="47.484375" bestFit="1" customWidth="1"/>
    <col min="28" max="28" width="14.390625" bestFit="1" customWidth="1"/>
    <col min="29" max="29" width="22.1953125" bestFit="1" customWidth="1"/>
    <col min="30" max="30" width="5.24609375" bestFit="1" customWidth="1"/>
  </cols>
  <sheetData>
    <row r="1" spans="1:30" x14ac:dyDescent="0.2">
      <c r="A1" s="31" t="s">
        <v>0</v>
      </c>
      <c r="B1" s="1" t="s">
        <v>1</v>
      </c>
      <c r="C1" s="14" t="s">
        <v>2</v>
      </c>
      <c r="D1" s="14" t="s">
        <v>3</v>
      </c>
      <c r="E1" s="14" t="s">
        <v>4</v>
      </c>
      <c r="F1" s="7" t="s">
        <v>5</v>
      </c>
      <c r="G1" s="6" t="s">
        <v>6</v>
      </c>
      <c r="H1" s="1" t="s">
        <v>7</v>
      </c>
      <c r="I1" s="6" t="s">
        <v>8</v>
      </c>
      <c r="J1" s="17" t="s">
        <v>9</v>
      </c>
      <c r="K1" s="6" t="s">
        <v>10</v>
      </c>
      <c r="L1" s="1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31" t="s">
        <v>17</v>
      </c>
      <c r="S1" s="1" t="s">
        <v>18</v>
      </c>
      <c r="AB1" s="1" t="s">
        <v>19</v>
      </c>
      <c r="AC1" s="14" t="s">
        <v>20</v>
      </c>
      <c r="AD1" s="14" t="s">
        <v>21</v>
      </c>
    </row>
    <row r="2" spans="1:30" ht="27.75" x14ac:dyDescent="0.2">
      <c r="A2" s="31">
        <v>45659</v>
      </c>
      <c r="B2" s="1" t="s">
        <v>22</v>
      </c>
      <c r="C2" s="14"/>
      <c r="D2" s="14" t="s">
        <v>23</v>
      </c>
      <c r="E2" s="14" t="s">
        <v>24</v>
      </c>
      <c r="G2" s="6">
        <v>230000</v>
      </c>
      <c r="H2" s="1" t="s">
        <v>25</v>
      </c>
      <c r="I2" s="6">
        <v>74350</v>
      </c>
      <c r="J2" s="17">
        <v>43700</v>
      </c>
      <c r="K2" s="6"/>
      <c r="L2" s="14" t="s">
        <v>26</v>
      </c>
      <c r="M2" s="6">
        <f t="shared" ref="M2:M40" si="0">(F2+G2-I2-K2)</f>
        <v>155650</v>
      </c>
      <c r="N2" s="14" t="s">
        <v>21</v>
      </c>
      <c r="O2" s="6">
        <f t="shared" ref="O2:O40" si="1">IF(N2="X25%",M2*0.25,IF(N2="X50%",M2/2,""))</f>
        <v>77825</v>
      </c>
      <c r="P2" s="6">
        <f t="shared" ref="P2:P40" si="2">(M2/2+J2)</f>
        <v>121525</v>
      </c>
      <c r="Q2" s="14" t="s">
        <v>20</v>
      </c>
      <c r="R2" s="31">
        <v>45667</v>
      </c>
      <c r="S2" s="14" t="s">
        <v>27</v>
      </c>
      <c r="AB2" s="1" t="s">
        <v>26</v>
      </c>
      <c r="AC2" s="14" t="s">
        <v>28</v>
      </c>
      <c r="AD2" s="14" t="s">
        <v>29</v>
      </c>
    </row>
    <row r="3" spans="1:30" x14ac:dyDescent="0.2">
      <c r="A3" s="31">
        <v>45659</v>
      </c>
      <c r="B3" s="1" t="s">
        <v>30</v>
      </c>
      <c r="C3" s="14"/>
      <c r="D3" s="14" t="s">
        <v>31</v>
      </c>
      <c r="E3" s="14" t="s">
        <v>32</v>
      </c>
      <c r="G3" s="6">
        <v>70000</v>
      </c>
      <c r="H3" s="1"/>
      <c r="I3" s="6"/>
      <c r="J3" s="17"/>
      <c r="K3" s="6"/>
      <c r="L3" s="14" t="s">
        <v>26</v>
      </c>
      <c r="M3" s="6">
        <f t="shared" si="0"/>
        <v>70000</v>
      </c>
      <c r="N3" s="14" t="s">
        <v>21</v>
      </c>
      <c r="O3" s="6">
        <f t="shared" si="1"/>
        <v>35000</v>
      </c>
      <c r="P3" s="6">
        <f t="shared" si="2"/>
        <v>35000</v>
      </c>
      <c r="Q3" s="14" t="s">
        <v>20</v>
      </c>
      <c r="R3" s="31">
        <v>45667</v>
      </c>
      <c r="S3" s="14" t="s">
        <v>27</v>
      </c>
      <c r="AC3" s="14" t="s">
        <v>33</v>
      </c>
    </row>
    <row r="4" spans="1:30" x14ac:dyDescent="0.2">
      <c r="A4" s="31">
        <v>45661</v>
      </c>
      <c r="B4" s="1" t="s">
        <v>34</v>
      </c>
      <c r="C4" s="14"/>
      <c r="D4" s="14" t="s">
        <v>31</v>
      </c>
      <c r="E4" s="14" t="s">
        <v>32</v>
      </c>
      <c r="G4" s="6">
        <v>60000</v>
      </c>
      <c r="H4" s="1"/>
      <c r="I4" s="6"/>
      <c r="J4" s="17"/>
      <c r="K4" s="6"/>
      <c r="L4" s="14" t="s">
        <v>26</v>
      </c>
      <c r="M4" s="6">
        <f t="shared" si="0"/>
        <v>60000</v>
      </c>
      <c r="N4" s="14" t="s">
        <v>21</v>
      </c>
      <c r="O4" s="6">
        <f t="shared" si="1"/>
        <v>30000</v>
      </c>
      <c r="P4" s="6">
        <f t="shared" si="2"/>
        <v>30000</v>
      </c>
      <c r="Q4" s="14" t="s">
        <v>20</v>
      </c>
      <c r="R4" s="31">
        <v>45667</v>
      </c>
      <c r="S4" s="14" t="s">
        <v>27</v>
      </c>
      <c r="AC4" s="14" t="s">
        <v>35</v>
      </c>
    </row>
    <row r="5" spans="1:30" x14ac:dyDescent="0.2">
      <c r="A5" s="31">
        <v>45664</v>
      </c>
      <c r="B5" s="1" t="s">
        <v>36</v>
      </c>
      <c r="C5" s="14"/>
      <c r="D5" s="14" t="s">
        <v>37</v>
      </c>
      <c r="E5" s="14" t="s">
        <v>38</v>
      </c>
      <c r="G5" s="6">
        <v>60000</v>
      </c>
      <c r="H5" s="1"/>
      <c r="I5" s="6"/>
      <c r="J5" s="17"/>
      <c r="K5" s="6"/>
      <c r="L5" s="14" t="s">
        <v>26</v>
      </c>
      <c r="M5" s="6">
        <f t="shared" si="0"/>
        <v>60000</v>
      </c>
      <c r="N5" s="14" t="s">
        <v>21</v>
      </c>
      <c r="O5" s="6">
        <f t="shared" si="1"/>
        <v>30000</v>
      </c>
      <c r="P5" s="6">
        <f t="shared" si="2"/>
        <v>30000</v>
      </c>
      <c r="Q5" s="14" t="s">
        <v>20</v>
      </c>
      <c r="R5" s="31">
        <v>45667</v>
      </c>
      <c r="S5" s="14" t="s">
        <v>27</v>
      </c>
      <c r="AC5" s="14" t="s">
        <v>39</v>
      </c>
    </row>
    <row r="6" spans="1:30" ht="27.75" x14ac:dyDescent="0.2">
      <c r="A6" s="31">
        <v>45665</v>
      </c>
      <c r="B6" s="1" t="s">
        <v>40</v>
      </c>
      <c r="C6" s="14" t="s">
        <v>41</v>
      </c>
      <c r="D6" s="14" t="s">
        <v>42</v>
      </c>
      <c r="E6" s="14" t="s">
        <v>43</v>
      </c>
      <c r="F6" s="7">
        <v>60000</v>
      </c>
      <c r="G6" s="6"/>
      <c r="H6" s="1"/>
      <c r="I6" s="6"/>
      <c r="J6" s="17"/>
      <c r="K6" s="6"/>
      <c r="L6" s="14" t="s">
        <v>19</v>
      </c>
      <c r="M6" s="6">
        <f t="shared" si="0"/>
        <v>60000</v>
      </c>
      <c r="N6" s="14" t="s">
        <v>21</v>
      </c>
      <c r="O6" s="6">
        <f t="shared" si="1"/>
        <v>30000</v>
      </c>
      <c r="P6" s="6">
        <f t="shared" si="2"/>
        <v>30000</v>
      </c>
      <c r="Q6" s="14" t="s">
        <v>20</v>
      </c>
      <c r="R6" s="31">
        <v>45665</v>
      </c>
      <c r="S6" s="14" t="s">
        <v>44</v>
      </c>
      <c r="AC6" s="14" t="s">
        <v>45</v>
      </c>
    </row>
    <row r="7" spans="1:30" ht="27.75" x14ac:dyDescent="0.2">
      <c r="A7" s="31">
        <v>45665</v>
      </c>
      <c r="B7" s="1" t="s">
        <v>46</v>
      </c>
      <c r="C7" s="14" t="s">
        <v>47</v>
      </c>
      <c r="D7" s="14" t="s">
        <v>48</v>
      </c>
      <c r="E7" s="14" t="s">
        <v>49</v>
      </c>
      <c r="G7" s="6">
        <v>80000</v>
      </c>
      <c r="H7" s="1"/>
      <c r="I7" s="6"/>
      <c r="J7" s="17"/>
      <c r="K7" s="6"/>
      <c r="L7" s="14" t="s">
        <v>26</v>
      </c>
      <c r="M7" s="6">
        <f t="shared" si="0"/>
        <v>80000</v>
      </c>
      <c r="N7" s="14" t="s">
        <v>21</v>
      </c>
      <c r="O7" s="6">
        <f t="shared" si="1"/>
        <v>40000</v>
      </c>
      <c r="P7" s="6">
        <f t="shared" si="2"/>
        <v>40000</v>
      </c>
      <c r="Q7" s="14" t="s">
        <v>20</v>
      </c>
      <c r="R7" s="31">
        <v>45667</v>
      </c>
      <c r="S7" s="14" t="s">
        <v>27</v>
      </c>
      <c r="AC7" s="14" t="s">
        <v>50</v>
      </c>
    </row>
    <row r="8" spans="1:30" ht="27.75" x14ac:dyDescent="0.2">
      <c r="A8" s="31">
        <v>45666</v>
      </c>
      <c r="B8" s="1" t="s">
        <v>51</v>
      </c>
      <c r="C8" s="14" t="s">
        <v>52</v>
      </c>
      <c r="D8" s="14" t="s">
        <v>53</v>
      </c>
      <c r="E8" s="14" t="s">
        <v>54</v>
      </c>
      <c r="G8" s="6">
        <v>60000</v>
      </c>
      <c r="H8" s="1"/>
      <c r="I8" s="6"/>
      <c r="J8" s="17"/>
      <c r="K8" s="6"/>
      <c r="L8" s="14" t="s">
        <v>26</v>
      </c>
      <c r="M8" s="6">
        <f t="shared" si="0"/>
        <v>60000</v>
      </c>
      <c r="N8" s="14" t="s">
        <v>21</v>
      </c>
      <c r="O8" s="6">
        <f t="shared" si="1"/>
        <v>30000</v>
      </c>
      <c r="P8" s="6">
        <f t="shared" si="2"/>
        <v>30000</v>
      </c>
      <c r="Q8" s="14" t="s">
        <v>20</v>
      </c>
      <c r="R8" s="31">
        <v>45667</v>
      </c>
      <c r="S8" s="14" t="s">
        <v>27</v>
      </c>
    </row>
    <row r="9" spans="1:30" ht="41.25" x14ac:dyDescent="0.2">
      <c r="A9" s="31">
        <v>45667</v>
      </c>
      <c r="B9" s="1" t="s">
        <v>55</v>
      </c>
      <c r="C9" s="14" t="s">
        <v>56</v>
      </c>
      <c r="D9" s="14" t="s">
        <v>57</v>
      </c>
      <c r="E9" s="14" t="s">
        <v>58</v>
      </c>
      <c r="G9" s="6">
        <v>160000</v>
      </c>
      <c r="H9" s="1" t="s">
        <v>59</v>
      </c>
      <c r="I9" s="6">
        <v>20000</v>
      </c>
      <c r="J9" s="17"/>
      <c r="K9" s="6"/>
      <c r="L9" s="14" t="s">
        <v>19</v>
      </c>
      <c r="M9" s="6">
        <f t="shared" si="0"/>
        <v>140000</v>
      </c>
      <c r="N9" s="14" t="s">
        <v>21</v>
      </c>
      <c r="O9" s="6">
        <f t="shared" si="1"/>
        <v>70000</v>
      </c>
      <c r="P9" s="6">
        <f t="shared" si="2"/>
        <v>70000</v>
      </c>
      <c r="Q9" s="14" t="s">
        <v>20</v>
      </c>
      <c r="R9" s="31">
        <v>45681</v>
      </c>
      <c r="S9" s="14" t="s">
        <v>60</v>
      </c>
    </row>
    <row r="10" spans="1:30" x14ac:dyDescent="0.2">
      <c r="A10" s="31">
        <v>45677</v>
      </c>
      <c r="B10" s="1" t="s">
        <v>61</v>
      </c>
      <c r="C10" s="14" t="s">
        <v>62</v>
      </c>
      <c r="D10" s="14" t="s">
        <v>63</v>
      </c>
      <c r="E10" s="14" t="s">
        <v>64</v>
      </c>
      <c r="G10" s="6">
        <v>50000</v>
      </c>
      <c r="H10" s="1"/>
      <c r="I10" s="6"/>
      <c r="J10" s="17"/>
      <c r="K10" s="6"/>
      <c r="L10" s="14" t="s">
        <v>26</v>
      </c>
      <c r="M10" s="6">
        <f t="shared" si="0"/>
        <v>50000</v>
      </c>
      <c r="N10" s="14" t="s">
        <v>21</v>
      </c>
      <c r="O10" s="6">
        <f t="shared" si="1"/>
        <v>25000</v>
      </c>
      <c r="P10" s="6">
        <f t="shared" si="2"/>
        <v>25000</v>
      </c>
      <c r="Q10" s="14"/>
      <c r="R10" s="31"/>
      <c r="S10" s="14"/>
    </row>
    <row r="11" spans="1:30" ht="27.75" x14ac:dyDescent="0.2">
      <c r="A11" s="31">
        <v>45678</v>
      </c>
      <c r="B11" s="1" t="s">
        <v>65</v>
      </c>
      <c r="C11" s="14" t="s">
        <v>66</v>
      </c>
      <c r="D11" s="14" t="s">
        <v>57</v>
      </c>
      <c r="E11" s="14" t="s">
        <v>67</v>
      </c>
      <c r="G11" s="6">
        <v>200000</v>
      </c>
      <c r="H11" s="1"/>
      <c r="I11" s="6"/>
      <c r="J11" s="17"/>
      <c r="K11" s="6"/>
      <c r="L11" s="14" t="s">
        <v>19</v>
      </c>
      <c r="M11" s="6">
        <f t="shared" si="0"/>
        <v>200000</v>
      </c>
      <c r="N11" s="14" t="s">
        <v>21</v>
      </c>
      <c r="O11" s="6">
        <f t="shared" si="1"/>
        <v>100000</v>
      </c>
      <c r="P11" s="6">
        <f t="shared" si="2"/>
        <v>100000</v>
      </c>
      <c r="Q11" s="14" t="s">
        <v>20</v>
      </c>
      <c r="R11" s="31">
        <v>45678</v>
      </c>
      <c r="S11" s="14" t="s">
        <v>68</v>
      </c>
    </row>
    <row r="12" spans="1:30" ht="27.75" x14ac:dyDescent="0.2">
      <c r="A12" s="31">
        <v>45679</v>
      </c>
      <c r="B12" s="1" t="s">
        <v>69</v>
      </c>
      <c r="C12" s="14" t="s">
        <v>70</v>
      </c>
      <c r="D12" s="14" t="s">
        <v>31</v>
      </c>
      <c r="E12" s="14" t="s">
        <v>71</v>
      </c>
      <c r="G12" s="6"/>
      <c r="H12" s="1"/>
      <c r="I12" s="6"/>
      <c r="J12" s="17"/>
      <c r="K12" s="6"/>
      <c r="L12" s="14"/>
      <c r="M12" s="6">
        <f t="shared" si="0"/>
        <v>0</v>
      </c>
      <c r="N12" s="14"/>
      <c r="O12" s="6" t="str">
        <f t="shared" si="1"/>
        <v/>
      </c>
      <c r="P12" s="6">
        <f t="shared" si="2"/>
        <v>0</v>
      </c>
      <c r="Q12" s="14" t="s">
        <v>39</v>
      </c>
      <c r="R12" s="31"/>
      <c r="S12" s="14"/>
    </row>
    <row r="13" spans="1:30" ht="41.25" x14ac:dyDescent="0.2">
      <c r="A13" s="31">
        <v>45679</v>
      </c>
      <c r="B13" s="1" t="s">
        <v>72</v>
      </c>
      <c r="C13" s="14" t="s">
        <v>73</v>
      </c>
      <c r="D13" s="14">
        <v>601</v>
      </c>
      <c r="E13" s="14" t="s">
        <v>74</v>
      </c>
      <c r="F13" s="7">
        <v>60000</v>
      </c>
      <c r="G13" s="6"/>
      <c r="H13" s="1"/>
      <c r="I13" s="6"/>
      <c r="J13" s="17">
        <v>11400</v>
      </c>
      <c r="K13" s="6"/>
      <c r="L13" s="14" t="s">
        <v>26</v>
      </c>
      <c r="M13" s="6">
        <f t="shared" si="0"/>
        <v>60000</v>
      </c>
      <c r="N13" s="14" t="s">
        <v>21</v>
      </c>
      <c r="O13" s="6">
        <f t="shared" si="1"/>
        <v>30000</v>
      </c>
      <c r="P13" s="6">
        <f t="shared" si="2"/>
        <v>41400</v>
      </c>
      <c r="Q13" s="14"/>
      <c r="R13" s="31"/>
      <c r="S13" s="14"/>
    </row>
    <row r="14" spans="1:30" x14ac:dyDescent="0.2">
      <c r="A14" s="31">
        <v>45679</v>
      </c>
      <c r="B14" s="1" t="s">
        <v>75</v>
      </c>
      <c r="C14" s="14" t="s">
        <v>76</v>
      </c>
      <c r="D14" s="14" t="s">
        <v>77</v>
      </c>
      <c r="E14" s="14" t="s">
        <v>78</v>
      </c>
      <c r="G14" s="6">
        <v>250000</v>
      </c>
      <c r="H14" s="1"/>
      <c r="I14" s="6"/>
      <c r="J14" s="17"/>
      <c r="K14" s="6"/>
      <c r="L14" s="14" t="s">
        <v>19</v>
      </c>
      <c r="M14" s="6">
        <f t="shared" si="0"/>
        <v>250000</v>
      </c>
      <c r="N14" s="14" t="s">
        <v>21</v>
      </c>
      <c r="O14" s="6">
        <f t="shared" si="1"/>
        <v>125000</v>
      </c>
      <c r="P14" s="6">
        <f t="shared" si="2"/>
        <v>125000</v>
      </c>
      <c r="Q14" s="14" t="s">
        <v>20</v>
      </c>
      <c r="R14" s="31">
        <v>45679</v>
      </c>
      <c r="S14" s="14" t="s">
        <v>79</v>
      </c>
    </row>
    <row r="15" spans="1:30" x14ac:dyDescent="0.2">
      <c r="A15" s="31">
        <v>45680</v>
      </c>
      <c r="B15" s="1" t="s">
        <v>80</v>
      </c>
      <c r="C15" s="14" t="s">
        <v>81</v>
      </c>
      <c r="D15" s="14" t="s">
        <v>82</v>
      </c>
      <c r="E15" s="14" t="s">
        <v>83</v>
      </c>
      <c r="F15" s="7">
        <v>160000</v>
      </c>
      <c r="G15" s="6"/>
      <c r="H15" s="1"/>
      <c r="I15" s="6"/>
      <c r="J15" s="17"/>
      <c r="K15" s="6"/>
      <c r="L15" s="14" t="s">
        <v>26</v>
      </c>
      <c r="M15" s="6">
        <f t="shared" si="0"/>
        <v>160000</v>
      </c>
      <c r="N15" s="14" t="s">
        <v>21</v>
      </c>
      <c r="O15" s="6">
        <f t="shared" si="1"/>
        <v>80000</v>
      </c>
      <c r="P15" s="6">
        <f t="shared" si="2"/>
        <v>80000</v>
      </c>
      <c r="Q15" s="14"/>
      <c r="R15" s="31"/>
      <c r="S15" s="14"/>
    </row>
    <row r="16" spans="1:30" x14ac:dyDescent="0.2">
      <c r="A16" s="31">
        <v>45680</v>
      </c>
      <c r="B16" s="1" t="s">
        <v>84</v>
      </c>
      <c r="C16" s="14" t="s">
        <v>85</v>
      </c>
      <c r="D16" s="14">
        <v>201</v>
      </c>
      <c r="E16" s="14" t="s">
        <v>32</v>
      </c>
      <c r="G16" s="6">
        <v>50000</v>
      </c>
      <c r="H16" s="1"/>
      <c r="I16" s="6"/>
      <c r="J16" s="17"/>
      <c r="K16" s="6"/>
      <c r="L16" s="14" t="s">
        <v>26</v>
      </c>
      <c r="M16" s="6">
        <f t="shared" si="0"/>
        <v>50000</v>
      </c>
      <c r="N16" s="14" t="s">
        <v>21</v>
      </c>
      <c r="O16" s="6">
        <f t="shared" si="1"/>
        <v>25000</v>
      </c>
      <c r="P16" s="6">
        <f t="shared" si="2"/>
        <v>25000</v>
      </c>
      <c r="Q16" s="14"/>
      <c r="R16" s="31"/>
      <c r="S16" s="14"/>
    </row>
    <row r="17" spans="1:19" x14ac:dyDescent="0.2">
      <c r="A17" s="31">
        <v>45681</v>
      </c>
      <c r="B17" s="1" t="s">
        <v>86</v>
      </c>
      <c r="C17" s="14" t="s">
        <v>87</v>
      </c>
      <c r="D17" s="14" t="s">
        <v>88</v>
      </c>
      <c r="E17" s="14" t="s">
        <v>89</v>
      </c>
      <c r="F17" s="7">
        <v>80000</v>
      </c>
      <c r="G17" s="6"/>
      <c r="H17" s="1"/>
      <c r="I17" s="6"/>
      <c r="J17" s="17">
        <v>15200</v>
      </c>
      <c r="K17" s="6"/>
      <c r="L17" s="14" t="s">
        <v>19</v>
      </c>
      <c r="M17" s="6">
        <f t="shared" si="0"/>
        <v>80000</v>
      </c>
      <c r="N17" s="14" t="s">
        <v>21</v>
      </c>
      <c r="O17" s="6">
        <f t="shared" si="1"/>
        <v>40000</v>
      </c>
      <c r="P17" s="6">
        <f t="shared" si="2"/>
        <v>55200</v>
      </c>
      <c r="Q17" s="14" t="s">
        <v>35</v>
      </c>
      <c r="R17" s="31"/>
      <c r="S17" s="14" t="s">
        <v>683</v>
      </c>
    </row>
    <row r="18" spans="1:19" ht="27.75" x14ac:dyDescent="0.2">
      <c r="A18" s="31">
        <v>45681</v>
      </c>
      <c r="B18" s="1" t="s">
        <v>90</v>
      </c>
      <c r="C18" s="14" t="s">
        <v>91</v>
      </c>
      <c r="D18" s="14" t="s">
        <v>92</v>
      </c>
      <c r="E18" s="14" t="s">
        <v>93</v>
      </c>
      <c r="F18" s="7">
        <v>120000</v>
      </c>
      <c r="G18" s="6"/>
      <c r="H18" s="1"/>
      <c r="I18" s="6"/>
      <c r="J18" s="17"/>
      <c r="K18" s="6"/>
      <c r="L18" s="14" t="s">
        <v>19</v>
      </c>
      <c r="M18" s="6">
        <f t="shared" si="0"/>
        <v>120000</v>
      </c>
      <c r="N18" s="14" t="s">
        <v>21</v>
      </c>
      <c r="O18" s="6">
        <f t="shared" si="1"/>
        <v>60000</v>
      </c>
      <c r="P18" s="6">
        <f t="shared" si="2"/>
        <v>60000</v>
      </c>
      <c r="Q18" s="14" t="s">
        <v>20</v>
      </c>
      <c r="R18" s="31">
        <v>45681</v>
      </c>
      <c r="S18" s="14" t="s">
        <v>94</v>
      </c>
    </row>
    <row r="19" spans="1:19" ht="27.75" x14ac:dyDescent="0.2">
      <c r="A19" s="31">
        <v>45684</v>
      </c>
      <c r="B19" s="1"/>
      <c r="C19" s="14" t="s">
        <v>95</v>
      </c>
      <c r="D19" s="14" t="s">
        <v>96</v>
      </c>
      <c r="E19" s="14" t="s">
        <v>97</v>
      </c>
      <c r="G19" s="6">
        <v>275900</v>
      </c>
      <c r="H19" s="1"/>
      <c r="I19" s="6">
        <v>40000</v>
      </c>
      <c r="J19" s="17">
        <v>55100</v>
      </c>
      <c r="K19" s="6"/>
      <c r="L19" s="14" t="s">
        <v>19</v>
      </c>
      <c r="M19" s="6">
        <f t="shared" si="0"/>
        <v>235900</v>
      </c>
      <c r="N19" s="14" t="s">
        <v>29</v>
      </c>
      <c r="O19" s="6">
        <f t="shared" si="1"/>
        <v>58975</v>
      </c>
      <c r="P19" s="6">
        <f t="shared" si="2"/>
        <v>173050</v>
      </c>
      <c r="Q19" s="14" t="s">
        <v>20</v>
      </c>
      <c r="R19" s="31">
        <v>45714</v>
      </c>
      <c r="S19" s="14" t="s">
        <v>98</v>
      </c>
    </row>
    <row r="20" spans="1:19" ht="27.75" x14ac:dyDescent="0.2">
      <c r="A20" s="31">
        <v>45685</v>
      </c>
      <c r="B20" s="1" t="s">
        <v>99</v>
      </c>
      <c r="C20" s="14"/>
      <c r="D20" s="14" t="s">
        <v>100</v>
      </c>
      <c r="E20" s="14" t="s">
        <v>101</v>
      </c>
      <c r="G20" s="6">
        <v>100000</v>
      </c>
      <c r="H20" s="1"/>
      <c r="I20" s="6"/>
      <c r="J20" s="17"/>
      <c r="K20" s="6"/>
      <c r="L20" s="14" t="s">
        <v>19</v>
      </c>
      <c r="M20" s="6">
        <f t="shared" si="0"/>
        <v>100000</v>
      </c>
      <c r="N20" s="14" t="s">
        <v>21</v>
      </c>
      <c r="O20" s="6">
        <f t="shared" si="1"/>
        <v>50000</v>
      </c>
      <c r="P20" s="6">
        <f t="shared" si="2"/>
        <v>50000</v>
      </c>
      <c r="Q20" s="14" t="s">
        <v>20</v>
      </c>
      <c r="R20" s="31"/>
      <c r="S20" s="14"/>
    </row>
    <row r="21" spans="1:19" ht="27.75" x14ac:dyDescent="0.2">
      <c r="A21" s="31">
        <v>45685</v>
      </c>
      <c r="B21" s="1" t="s">
        <v>102</v>
      </c>
      <c r="C21" s="14" t="s">
        <v>103</v>
      </c>
      <c r="D21" s="14" t="s">
        <v>104</v>
      </c>
      <c r="E21" s="14" t="s">
        <v>32</v>
      </c>
      <c r="G21" s="6"/>
      <c r="H21" s="1"/>
      <c r="I21" s="6"/>
      <c r="J21" s="17"/>
      <c r="K21" s="6"/>
      <c r="L21" s="14"/>
      <c r="M21" s="6">
        <f t="shared" si="0"/>
        <v>0</v>
      </c>
      <c r="N21" s="14"/>
      <c r="O21" s="6" t="str">
        <f t="shared" si="1"/>
        <v/>
      </c>
      <c r="P21" s="6">
        <f t="shared" si="2"/>
        <v>0</v>
      </c>
      <c r="Q21" s="14" t="s">
        <v>28</v>
      </c>
      <c r="R21" s="31"/>
      <c r="S21" s="14" t="s">
        <v>105</v>
      </c>
    </row>
    <row r="22" spans="1:19" ht="27.75" x14ac:dyDescent="0.2">
      <c r="A22" s="31">
        <v>45687</v>
      </c>
      <c r="B22" s="1" t="s">
        <v>106</v>
      </c>
      <c r="C22" s="14"/>
      <c r="D22" s="14" t="s">
        <v>107</v>
      </c>
      <c r="E22" s="14" t="s">
        <v>108</v>
      </c>
      <c r="G22" s="6"/>
      <c r="H22" s="1"/>
      <c r="I22" s="6"/>
      <c r="J22" s="17"/>
      <c r="K22" s="6"/>
      <c r="L22" s="14"/>
      <c r="M22" s="6">
        <f t="shared" si="0"/>
        <v>0</v>
      </c>
      <c r="N22" s="14"/>
      <c r="O22" s="6" t="str">
        <f t="shared" si="1"/>
        <v/>
      </c>
      <c r="P22" s="6">
        <f t="shared" si="2"/>
        <v>0</v>
      </c>
      <c r="Q22" s="14" t="s">
        <v>33</v>
      </c>
      <c r="R22" s="31"/>
      <c r="S22" s="14"/>
    </row>
    <row r="23" spans="1:19" ht="27.75" x14ac:dyDescent="0.2">
      <c r="A23" s="31">
        <v>45687</v>
      </c>
      <c r="B23" s="1" t="s">
        <v>109</v>
      </c>
      <c r="C23" s="14" t="s">
        <v>110</v>
      </c>
      <c r="D23" s="14" t="s">
        <v>111</v>
      </c>
      <c r="E23" s="14" t="s">
        <v>112</v>
      </c>
      <c r="G23" s="6"/>
      <c r="H23" s="1"/>
      <c r="I23" s="6"/>
      <c r="J23" s="17"/>
      <c r="K23" s="6"/>
      <c r="L23" s="14"/>
      <c r="M23" s="6">
        <f t="shared" si="0"/>
        <v>0</v>
      </c>
      <c r="N23" s="14"/>
      <c r="O23" s="6" t="str">
        <f t="shared" si="1"/>
        <v/>
      </c>
      <c r="P23" s="6">
        <f t="shared" si="2"/>
        <v>0</v>
      </c>
      <c r="Q23" s="14" t="s">
        <v>33</v>
      </c>
      <c r="R23" s="31"/>
      <c r="S23" s="14"/>
    </row>
    <row r="24" spans="1:19" x14ac:dyDescent="0.2">
      <c r="A24" s="31">
        <v>45687</v>
      </c>
      <c r="B24" s="1" t="s">
        <v>113</v>
      </c>
      <c r="C24" s="14" t="s">
        <v>114</v>
      </c>
      <c r="D24" s="14" t="s">
        <v>31</v>
      </c>
      <c r="E24" s="14" t="s">
        <v>115</v>
      </c>
      <c r="G24" s="6">
        <v>80000</v>
      </c>
      <c r="H24" s="1"/>
      <c r="I24" s="6"/>
      <c r="J24" s="17"/>
      <c r="K24" s="6"/>
      <c r="L24" s="14" t="s">
        <v>26</v>
      </c>
      <c r="M24" s="6">
        <f t="shared" si="0"/>
        <v>80000</v>
      </c>
      <c r="N24" s="14" t="s">
        <v>21</v>
      </c>
      <c r="O24" s="6">
        <f t="shared" si="1"/>
        <v>40000</v>
      </c>
      <c r="P24" s="6">
        <f t="shared" si="2"/>
        <v>40000</v>
      </c>
      <c r="Q24" s="14"/>
      <c r="R24" s="31"/>
      <c r="S24" s="14"/>
    </row>
    <row r="25" spans="1:19" ht="27.75" x14ac:dyDescent="0.2">
      <c r="A25" s="31">
        <v>45688</v>
      </c>
      <c r="B25" s="1" t="s">
        <v>116</v>
      </c>
      <c r="C25" s="14" t="s">
        <v>117</v>
      </c>
      <c r="D25" s="14" t="s">
        <v>118</v>
      </c>
      <c r="E25" s="14" t="s">
        <v>572</v>
      </c>
      <c r="G25" s="6">
        <v>220000</v>
      </c>
      <c r="H25" s="1"/>
      <c r="I25" s="6"/>
      <c r="J25" s="17"/>
      <c r="K25" s="6"/>
      <c r="L25" s="14" t="s">
        <v>26</v>
      </c>
      <c r="M25" s="6">
        <f t="shared" si="0"/>
        <v>220000</v>
      </c>
      <c r="N25" s="14" t="s">
        <v>21</v>
      </c>
      <c r="O25" s="6">
        <f t="shared" si="1"/>
        <v>110000</v>
      </c>
      <c r="P25" s="6">
        <f t="shared" si="2"/>
        <v>110000</v>
      </c>
      <c r="Q25" s="14"/>
      <c r="R25" s="31"/>
      <c r="S25" s="14"/>
    </row>
    <row r="26" spans="1:19" x14ac:dyDescent="0.2">
      <c r="A26" s="31"/>
      <c r="B26" s="1"/>
      <c r="C26" s="14"/>
      <c r="D26" s="14"/>
      <c r="E26" s="14"/>
      <c r="G26" s="6"/>
      <c r="H26" s="1"/>
      <c r="I26" s="6"/>
      <c r="J26" s="17"/>
      <c r="K26" s="6"/>
      <c r="L26" s="14"/>
      <c r="M26" s="6">
        <f t="shared" si="0"/>
        <v>0</v>
      </c>
      <c r="N26" s="14"/>
      <c r="O26" s="6" t="str">
        <f t="shared" si="1"/>
        <v/>
      </c>
      <c r="P26" s="6">
        <f t="shared" si="2"/>
        <v>0</v>
      </c>
      <c r="Q26" s="14"/>
      <c r="R26" s="31"/>
      <c r="S26" s="14"/>
    </row>
    <row r="27" spans="1:19" x14ac:dyDescent="0.2">
      <c r="A27" s="31"/>
      <c r="B27" s="1"/>
      <c r="C27" s="14"/>
      <c r="D27" s="14"/>
      <c r="E27" s="14"/>
      <c r="G27" s="6"/>
      <c r="H27" s="1"/>
      <c r="I27" s="6"/>
      <c r="J27" s="17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31"/>
      <c r="S27" s="14"/>
    </row>
    <row r="28" spans="1:19" x14ac:dyDescent="0.2">
      <c r="A28" s="31"/>
      <c r="B28" s="1"/>
      <c r="C28" s="14"/>
      <c r="D28" s="14"/>
      <c r="E28" s="14"/>
      <c r="G28" s="6"/>
      <c r="H28" s="1"/>
      <c r="I28" s="6"/>
      <c r="J28" s="17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 t="shared" si="2"/>
        <v>0</v>
      </c>
      <c r="Q28" s="14"/>
      <c r="R28" s="31"/>
      <c r="S28" s="14"/>
    </row>
    <row r="29" spans="1:19" x14ac:dyDescent="0.2">
      <c r="A29" s="31"/>
      <c r="B29" s="1"/>
      <c r="C29" s="14"/>
      <c r="D29" s="14"/>
      <c r="E29" s="14"/>
      <c r="G29" s="6"/>
      <c r="H29" s="1"/>
      <c r="I29" s="6"/>
      <c r="J29" s="17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31"/>
      <c r="S29" s="14"/>
    </row>
    <row r="30" spans="1:19" x14ac:dyDescent="0.2">
      <c r="A30" s="31"/>
      <c r="B30" s="1"/>
      <c r="C30" s="14"/>
      <c r="D30" s="14"/>
      <c r="E30" s="14"/>
      <c r="G30" s="6"/>
      <c r="H30" s="1"/>
      <c r="I30" s="6"/>
      <c r="J30" s="17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31"/>
      <c r="S30" s="14"/>
    </row>
    <row r="31" spans="1:19" x14ac:dyDescent="0.2">
      <c r="A31" s="31"/>
      <c r="B31" s="1"/>
      <c r="C31" s="14"/>
      <c r="D31" s="14"/>
      <c r="E31" s="14"/>
      <c r="G31" s="6"/>
      <c r="H31" s="1"/>
      <c r="I31" s="6"/>
      <c r="J31" s="17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31"/>
      <c r="S31" s="14"/>
    </row>
    <row r="32" spans="1:19" x14ac:dyDescent="0.2">
      <c r="A32" s="31"/>
      <c r="B32" s="1"/>
      <c r="C32" s="14"/>
      <c r="D32" s="14"/>
      <c r="E32" s="14"/>
      <c r="G32" s="6"/>
      <c r="H32" s="1"/>
      <c r="I32" s="6"/>
      <c r="J32" s="17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31"/>
      <c r="S32" s="14"/>
    </row>
    <row r="33" spans="1:19" x14ac:dyDescent="0.2">
      <c r="A33" s="31"/>
      <c r="B33" s="1"/>
      <c r="C33" s="14"/>
      <c r="D33" s="14"/>
      <c r="E33" s="14"/>
      <c r="G33" s="6"/>
      <c r="H33" s="1"/>
      <c r="I33" s="6"/>
      <c r="J33" s="17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31"/>
      <c r="S33" s="14"/>
    </row>
    <row r="34" spans="1:19" x14ac:dyDescent="0.2">
      <c r="A34" s="31"/>
      <c r="B34" s="1"/>
      <c r="C34" s="14"/>
      <c r="D34" s="14"/>
      <c r="E34" s="14"/>
      <c r="G34" s="6"/>
      <c r="H34" s="1"/>
      <c r="I34" s="6"/>
      <c r="J34" s="17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31"/>
      <c r="S34" s="14"/>
    </row>
    <row r="35" spans="1:19" x14ac:dyDescent="0.2">
      <c r="A35" s="31"/>
      <c r="B35" s="1"/>
      <c r="C35" s="14"/>
      <c r="D35" s="14"/>
      <c r="E35" s="14"/>
      <c r="G35" s="6"/>
      <c r="H35" s="1"/>
      <c r="I35" s="6"/>
      <c r="J35" s="17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31"/>
      <c r="S35" s="14"/>
    </row>
    <row r="36" spans="1:19" x14ac:dyDescent="0.2">
      <c r="A36" s="31"/>
      <c r="B36" s="1"/>
      <c r="C36" s="14"/>
      <c r="D36" s="14"/>
      <c r="E36" s="14"/>
      <c r="G36" s="6"/>
      <c r="H36" s="1"/>
      <c r="I36" s="6"/>
      <c r="J36" s="17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31"/>
      <c r="S36" s="14"/>
    </row>
    <row r="37" spans="1:19" x14ac:dyDescent="0.2">
      <c r="A37" s="31"/>
      <c r="B37" s="1"/>
      <c r="C37" s="14"/>
      <c r="D37" s="14"/>
      <c r="E37" s="14"/>
      <c r="G37" s="6"/>
      <c r="H37" s="1"/>
      <c r="I37" s="6"/>
      <c r="J37" s="17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31"/>
      <c r="S37" s="14"/>
    </row>
    <row r="38" spans="1:19" x14ac:dyDescent="0.2">
      <c r="A38" s="31"/>
      <c r="B38" s="1"/>
      <c r="C38" s="14"/>
      <c r="D38" s="14"/>
      <c r="E38" s="14"/>
      <c r="G38" s="6"/>
      <c r="H38" s="1"/>
      <c r="I38" s="6"/>
      <c r="J38" s="17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31"/>
      <c r="S38" s="14"/>
    </row>
    <row r="39" spans="1:19" x14ac:dyDescent="0.2">
      <c r="A39" s="31"/>
      <c r="B39" s="1"/>
      <c r="C39" s="14"/>
      <c r="D39" s="14"/>
      <c r="E39" s="14"/>
      <c r="G39" s="6"/>
      <c r="H39" s="1"/>
      <c r="I39" s="6"/>
      <c r="J39" s="17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31"/>
      <c r="S39" s="14"/>
    </row>
    <row r="40" spans="1:19" x14ac:dyDescent="0.2">
      <c r="A40" s="31"/>
      <c r="B40" s="1"/>
      <c r="C40" s="14"/>
      <c r="D40" s="14"/>
      <c r="E40" s="14"/>
      <c r="G40" s="6"/>
      <c r="H40" s="1"/>
      <c r="I40" s="6"/>
      <c r="J40" s="17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31"/>
      <c r="S40" s="14"/>
    </row>
    <row r="41" spans="1:19" x14ac:dyDescent="0.2">
      <c r="A41" s="32" t="s">
        <v>119</v>
      </c>
      <c r="F41" s="13"/>
      <c r="S41">
        <f>SUBTOTAL(103,Tabla1[[NOTAS ]])</f>
        <v>14</v>
      </c>
    </row>
  </sheetData>
  <conditionalFormatting sqref="A2:S41">
    <cfRule type="expression" dxfId="129" priority="1" stopIfTrue="1">
      <formula>$Q2="YA RELACIONADO"</formula>
    </cfRule>
    <cfRule type="expression" dxfId="128" priority="3" stopIfTrue="1">
      <formula>$Q2="COTIZACIÓN"</formula>
    </cfRule>
    <cfRule type="expression" dxfId="127" priority="4" stopIfTrue="1">
      <formula>$Q2="NO PAGARON DOMICILIO"</formula>
    </cfRule>
    <cfRule type="expression" dxfId="126" priority="5" stopIfTrue="1">
      <formula>$Q2="NO SE COBRA DOMICILIO"</formula>
    </cfRule>
    <cfRule type="expression" dxfId="125" priority="6" stopIfTrue="1">
      <formula>$Q2="GARANTIA"</formula>
    </cfRule>
    <cfRule type="expression" dxfId="124" priority="7" stopIfTrue="1">
      <formula>$Q2="CANCELADO"</formula>
    </cfRule>
  </conditionalFormatting>
  <dataValidations count="3">
    <dataValidation type="list" allowBlank="1" showInputMessage="1" showErrorMessage="1" sqref="Q2:Q40" xr:uid="{82D42B53-C45D-4850-9BD2-CF394B42AA81}">
      <formula1>$AC$1:$AC$7</formula1>
    </dataValidation>
    <dataValidation type="list" allowBlank="1" showInputMessage="1" showErrorMessage="1" sqref="L2:L40" xr:uid="{B174296F-9A4A-499C-81BC-A1321C48198A}">
      <formula1>$AB$1:$AB$2</formula1>
    </dataValidation>
    <dataValidation type="list" allowBlank="1" showInputMessage="1" showErrorMessage="1" sqref="N2:N40" xr:uid="{AE181708-9DED-44A5-8D7F-EB39148937D0}">
      <formula1>$AD$1:$AD$2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E931-6836-4F5A-971F-B3B68762714C}">
  <sheetPr codeName="Hoja2">
    <tabColor rgb="FFC00000"/>
  </sheetPr>
  <dimension ref="A1:AD41"/>
  <sheetViews>
    <sheetView topLeftCell="H20" zoomScale="89" zoomScaleNormal="100" workbookViewId="0">
      <selection activeCell="S7" sqref="S7"/>
    </sheetView>
  </sheetViews>
  <sheetFormatPr defaultColWidth="10.76171875" defaultRowHeight="15" x14ac:dyDescent="0.2"/>
  <cols>
    <col min="1" max="1" width="30.53515625" style="34" customWidth="1"/>
    <col min="2" max="2" width="22.46484375" style="15" customWidth="1"/>
    <col min="3" max="3" width="23.5390625" style="15" customWidth="1"/>
    <col min="4" max="4" width="19.1015625" style="15" customWidth="1"/>
    <col min="5" max="5" width="45.19921875" style="15" customWidth="1"/>
    <col min="6" max="6" width="17.08203125" style="7" customWidth="1"/>
    <col min="7" max="7" width="16.41015625" style="20" customWidth="1"/>
    <col min="8" max="8" width="39.546875" style="15" customWidth="1"/>
    <col min="9" max="9" width="19.234375" style="18" customWidth="1"/>
    <col min="10" max="10" width="11.56640625" style="18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23" customWidth="1"/>
    <col min="18" max="18" width="36.58984375" style="32" customWidth="1"/>
    <col min="19" max="19" width="47.62109375" style="15" customWidth="1"/>
    <col min="28" max="28" width="17.75390625" customWidth="1"/>
    <col min="29" max="29" width="26.36328125" customWidth="1"/>
  </cols>
  <sheetData>
    <row r="1" spans="1:30" x14ac:dyDescent="0.2">
      <c r="A1" s="3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7" t="s">
        <v>5</v>
      </c>
      <c r="G1" s="19" t="s">
        <v>6</v>
      </c>
      <c r="H1" s="14" t="s">
        <v>7</v>
      </c>
      <c r="I1" s="17" t="s">
        <v>8</v>
      </c>
      <c r="J1" s="17" t="s">
        <v>9</v>
      </c>
      <c r="K1" s="6" t="s">
        <v>10</v>
      </c>
      <c r="L1" s="1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22" t="s">
        <v>16</v>
      </c>
      <c r="R1" s="31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x14ac:dyDescent="0.2">
      <c r="A2" s="33">
        <v>45689</v>
      </c>
      <c r="B2" s="14" t="s">
        <v>120</v>
      </c>
      <c r="C2" s="14" t="s">
        <v>121</v>
      </c>
      <c r="D2" s="14" t="s">
        <v>107</v>
      </c>
      <c r="E2" s="14" t="s">
        <v>122</v>
      </c>
      <c r="G2" s="19">
        <v>220000</v>
      </c>
      <c r="H2" s="14"/>
      <c r="I2" s="17"/>
      <c r="J2" s="17"/>
      <c r="K2" s="6"/>
      <c r="L2" s="14" t="s">
        <v>26</v>
      </c>
      <c r="M2" s="6">
        <f t="shared" ref="M2:M40" si="0">(F2+G2-I2-K2)</f>
        <v>220000</v>
      </c>
      <c r="N2" s="14" t="s">
        <v>21</v>
      </c>
      <c r="O2" s="6">
        <f t="shared" ref="O2:O40" si="1">IF(N2="X25%",M2*0.25,IF(N2="X50%",M2/2,""))</f>
        <v>110000</v>
      </c>
      <c r="P2" s="6">
        <f t="shared" ref="P2:P40" si="2">(M2/2+J2)</f>
        <v>110000</v>
      </c>
      <c r="Q2" s="14" t="s">
        <v>20</v>
      </c>
      <c r="R2" s="31">
        <v>45689</v>
      </c>
      <c r="S2" s="14" t="s">
        <v>123</v>
      </c>
      <c r="AB2" s="1" t="s">
        <v>26</v>
      </c>
      <c r="AC2" s="14" t="s">
        <v>28</v>
      </c>
      <c r="AD2" s="14" t="s">
        <v>29</v>
      </c>
    </row>
    <row r="3" spans="1:30" ht="54.75" x14ac:dyDescent="0.2">
      <c r="A3" s="33">
        <v>45692</v>
      </c>
      <c r="B3" s="14" t="s">
        <v>124</v>
      </c>
      <c r="C3" s="14" t="s">
        <v>125</v>
      </c>
      <c r="D3" s="14" t="s">
        <v>107</v>
      </c>
      <c r="E3" s="14" t="s">
        <v>126</v>
      </c>
      <c r="G3" s="19">
        <v>80000</v>
      </c>
      <c r="H3" s="14"/>
      <c r="I3" s="17"/>
      <c r="J3" s="17"/>
      <c r="K3" s="6"/>
      <c r="L3" s="14" t="s">
        <v>26</v>
      </c>
      <c r="M3" s="6">
        <f t="shared" si="0"/>
        <v>80000</v>
      </c>
      <c r="N3" s="14" t="s">
        <v>21</v>
      </c>
      <c r="O3" s="6">
        <f t="shared" si="1"/>
        <v>40000</v>
      </c>
      <c r="P3" s="6">
        <f t="shared" si="2"/>
        <v>40000</v>
      </c>
      <c r="Q3" s="14" t="s">
        <v>20</v>
      </c>
      <c r="R3" s="31">
        <v>45692</v>
      </c>
      <c r="S3" s="14" t="s">
        <v>127</v>
      </c>
      <c r="AC3" s="14" t="s">
        <v>33</v>
      </c>
    </row>
    <row r="4" spans="1:30" ht="27.75" x14ac:dyDescent="0.2">
      <c r="A4" s="33">
        <v>45692</v>
      </c>
      <c r="B4" s="14" t="s">
        <v>128</v>
      </c>
      <c r="C4" s="14" t="s">
        <v>129</v>
      </c>
      <c r="D4" s="14" t="s">
        <v>111</v>
      </c>
      <c r="E4" s="14" t="s">
        <v>130</v>
      </c>
      <c r="G4" s="19"/>
      <c r="H4" s="14"/>
      <c r="I4" s="17"/>
      <c r="J4" s="17"/>
      <c r="K4" s="6"/>
      <c r="L4" s="14"/>
      <c r="M4" s="6">
        <f t="shared" si="0"/>
        <v>0</v>
      </c>
      <c r="N4" s="14"/>
      <c r="O4" s="6" t="str">
        <f t="shared" si="1"/>
        <v/>
      </c>
      <c r="P4" s="6">
        <f t="shared" si="2"/>
        <v>0</v>
      </c>
      <c r="Q4" s="14" t="s">
        <v>39</v>
      </c>
      <c r="R4" s="31"/>
      <c r="S4" s="14"/>
      <c r="AC4" s="14" t="s">
        <v>35</v>
      </c>
    </row>
    <row r="5" spans="1:30" ht="68.25" x14ac:dyDescent="0.2">
      <c r="A5" s="33">
        <v>45692</v>
      </c>
      <c r="B5" s="14" t="s">
        <v>131</v>
      </c>
      <c r="C5" s="14" t="s">
        <v>132</v>
      </c>
      <c r="D5" s="14" t="s">
        <v>111</v>
      </c>
      <c r="E5" s="14" t="s">
        <v>133</v>
      </c>
      <c r="G5" s="19">
        <v>228082</v>
      </c>
      <c r="H5" s="14"/>
      <c r="I5" s="17"/>
      <c r="J5" s="17">
        <v>45600</v>
      </c>
      <c r="K5" s="6"/>
      <c r="L5" s="14" t="s">
        <v>19</v>
      </c>
      <c r="M5" s="6">
        <f t="shared" si="0"/>
        <v>228082</v>
      </c>
      <c r="N5" s="14" t="s">
        <v>21</v>
      </c>
      <c r="O5" s="6">
        <f t="shared" si="1"/>
        <v>114041</v>
      </c>
      <c r="P5" s="6">
        <f t="shared" si="2"/>
        <v>159641</v>
      </c>
      <c r="Q5" s="14" t="s">
        <v>20</v>
      </c>
      <c r="R5" s="31">
        <v>45965</v>
      </c>
      <c r="S5" s="14" t="s">
        <v>778</v>
      </c>
      <c r="AC5" s="14" t="s">
        <v>39</v>
      </c>
    </row>
    <row r="6" spans="1:30" x14ac:dyDescent="0.2">
      <c r="A6" s="33">
        <v>45692</v>
      </c>
      <c r="B6" s="14" t="s">
        <v>134</v>
      </c>
      <c r="C6" s="14" t="s">
        <v>135</v>
      </c>
      <c r="D6" s="14"/>
      <c r="E6" s="14" t="s">
        <v>136</v>
      </c>
      <c r="G6" s="19">
        <v>57000</v>
      </c>
      <c r="H6" s="14"/>
      <c r="I6" s="17"/>
      <c r="J6" s="17"/>
      <c r="K6" s="6"/>
      <c r="L6" s="14" t="s">
        <v>26</v>
      </c>
      <c r="M6" s="6">
        <f t="shared" si="0"/>
        <v>57000</v>
      </c>
      <c r="N6" s="14" t="s">
        <v>21</v>
      </c>
      <c r="O6" s="6">
        <f t="shared" si="1"/>
        <v>28500</v>
      </c>
      <c r="P6" s="6">
        <f t="shared" si="2"/>
        <v>28500</v>
      </c>
      <c r="Q6" s="14"/>
      <c r="R6" s="31"/>
      <c r="S6" s="14"/>
      <c r="AC6" s="14" t="s">
        <v>45</v>
      </c>
    </row>
    <row r="7" spans="1:30" ht="81" x14ac:dyDescent="0.2">
      <c r="A7" s="33">
        <v>45693</v>
      </c>
      <c r="B7" s="14" t="s">
        <v>137</v>
      </c>
      <c r="C7" s="14" t="s">
        <v>138</v>
      </c>
      <c r="D7" s="14" t="s">
        <v>111</v>
      </c>
      <c r="E7" s="14" t="s">
        <v>139</v>
      </c>
      <c r="G7" s="19">
        <v>1568322</v>
      </c>
      <c r="H7" s="14" t="s">
        <v>140</v>
      </c>
      <c r="I7" s="17">
        <v>572900</v>
      </c>
      <c r="J7" s="17">
        <v>307800</v>
      </c>
      <c r="K7" s="6"/>
      <c r="L7" s="14" t="s">
        <v>19</v>
      </c>
      <c r="M7" s="6">
        <f t="shared" si="0"/>
        <v>995422</v>
      </c>
      <c r="N7" s="14" t="s">
        <v>21</v>
      </c>
      <c r="O7" s="6">
        <f t="shared" si="1"/>
        <v>497711</v>
      </c>
      <c r="P7" s="6">
        <f t="shared" si="2"/>
        <v>805511</v>
      </c>
      <c r="Q7" s="14" t="s">
        <v>20</v>
      </c>
      <c r="R7" s="31">
        <v>45708</v>
      </c>
      <c r="S7" s="14"/>
      <c r="AC7" s="14" t="s">
        <v>50</v>
      </c>
    </row>
    <row r="8" spans="1:30" ht="27.75" x14ac:dyDescent="0.2">
      <c r="A8" s="33">
        <v>45695</v>
      </c>
      <c r="B8" s="14" t="s">
        <v>128</v>
      </c>
      <c r="C8" s="14" t="s">
        <v>129</v>
      </c>
      <c r="D8" s="14" t="s">
        <v>111</v>
      </c>
      <c r="E8" s="14" t="s">
        <v>141</v>
      </c>
      <c r="G8" s="19">
        <v>1290576</v>
      </c>
      <c r="H8" s="14" t="s">
        <v>142</v>
      </c>
      <c r="I8" s="17">
        <v>666700</v>
      </c>
      <c r="J8" s="17"/>
      <c r="K8" s="6"/>
      <c r="L8" s="14" t="s">
        <v>19</v>
      </c>
      <c r="M8" s="6">
        <f t="shared" si="0"/>
        <v>623876</v>
      </c>
      <c r="N8" s="14" t="s">
        <v>29</v>
      </c>
      <c r="O8" s="6">
        <f t="shared" si="1"/>
        <v>155969</v>
      </c>
      <c r="P8" s="6">
        <f t="shared" si="2"/>
        <v>311938</v>
      </c>
      <c r="Q8" s="14" t="s">
        <v>20</v>
      </c>
      <c r="R8" s="31">
        <v>45722</v>
      </c>
      <c r="S8" s="14" t="s">
        <v>143</v>
      </c>
    </row>
    <row r="9" spans="1:30" ht="27.75" x14ac:dyDescent="0.2">
      <c r="A9" s="33">
        <v>45705</v>
      </c>
      <c r="B9" s="14" t="s">
        <v>144</v>
      </c>
      <c r="C9" s="14" t="s">
        <v>145</v>
      </c>
      <c r="D9" s="14" t="s">
        <v>111</v>
      </c>
      <c r="E9" s="14" t="s">
        <v>146</v>
      </c>
      <c r="F9" s="7">
        <v>80000</v>
      </c>
      <c r="G9" s="19"/>
      <c r="H9" s="14"/>
      <c r="I9" s="17"/>
      <c r="J9" s="17"/>
      <c r="K9" s="6"/>
      <c r="L9" s="14" t="s">
        <v>19</v>
      </c>
      <c r="M9" s="6">
        <f t="shared" si="0"/>
        <v>80000</v>
      </c>
      <c r="N9" s="14" t="s">
        <v>21</v>
      </c>
      <c r="O9" s="6">
        <f t="shared" si="1"/>
        <v>40000</v>
      </c>
      <c r="P9" s="6">
        <f t="shared" si="2"/>
        <v>40000</v>
      </c>
      <c r="Q9" s="14" t="s">
        <v>20</v>
      </c>
      <c r="R9" s="31">
        <v>45716</v>
      </c>
      <c r="S9" s="14" t="s">
        <v>147</v>
      </c>
    </row>
    <row r="10" spans="1:30" x14ac:dyDescent="0.2">
      <c r="A10" s="33">
        <v>45705</v>
      </c>
      <c r="B10" s="14" t="s">
        <v>148</v>
      </c>
      <c r="C10" s="14" t="s">
        <v>149</v>
      </c>
      <c r="D10" s="14"/>
      <c r="E10" s="14" t="s">
        <v>150</v>
      </c>
      <c r="G10" s="19">
        <v>1122000</v>
      </c>
      <c r="H10" s="14" t="s">
        <v>151</v>
      </c>
      <c r="I10" s="17">
        <v>686000</v>
      </c>
      <c r="J10" s="17">
        <v>228000</v>
      </c>
      <c r="K10" s="6"/>
      <c r="L10" s="14" t="s">
        <v>19</v>
      </c>
      <c r="M10" s="6">
        <f t="shared" si="0"/>
        <v>436000</v>
      </c>
      <c r="N10" s="14" t="s">
        <v>29</v>
      </c>
      <c r="O10" s="6">
        <f t="shared" si="1"/>
        <v>109000</v>
      </c>
      <c r="P10" s="6">
        <f t="shared" si="2"/>
        <v>446000</v>
      </c>
      <c r="Q10" s="21" t="s">
        <v>20</v>
      </c>
      <c r="R10" s="31">
        <v>45713</v>
      </c>
      <c r="S10" s="14" t="s">
        <v>152</v>
      </c>
    </row>
    <row r="11" spans="1:30" ht="27.75" x14ac:dyDescent="0.2">
      <c r="A11" s="33">
        <v>45706</v>
      </c>
      <c r="B11" s="14" t="s">
        <v>153</v>
      </c>
      <c r="C11" s="14" t="s">
        <v>154</v>
      </c>
      <c r="D11" s="14" t="s">
        <v>111</v>
      </c>
      <c r="E11" s="14" t="s">
        <v>155</v>
      </c>
      <c r="G11" s="19"/>
      <c r="H11" s="14"/>
      <c r="I11" s="17"/>
      <c r="J11" s="17"/>
      <c r="K11" s="6"/>
      <c r="L11" s="14" t="s">
        <v>19</v>
      </c>
      <c r="M11" s="6">
        <f t="shared" si="0"/>
        <v>0</v>
      </c>
      <c r="N11" s="14" t="s">
        <v>21</v>
      </c>
      <c r="O11" s="6">
        <f t="shared" si="1"/>
        <v>0</v>
      </c>
      <c r="P11" s="6">
        <f t="shared" si="2"/>
        <v>0</v>
      </c>
      <c r="Q11" s="14" t="s">
        <v>50</v>
      </c>
      <c r="R11" s="31"/>
      <c r="S11" s="14"/>
    </row>
    <row r="12" spans="1:30" x14ac:dyDescent="0.2">
      <c r="A12" s="33">
        <v>45706</v>
      </c>
      <c r="B12" s="14" t="s">
        <v>156</v>
      </c>
      <c r="C12" s="14" t="s">
        <v>157</v>
      </c>
      <c r="D12" s="14" t="s">
        <v>158</v>
      </c>
      <c r="E12" s="14" t="s">
        <v>159</v>
      </c>
      <c r="G12" s="19">
        <v>722258</v>
      </c>
      <c r="H12" s="14" t="s">
        <v>160</v>
      </c>
      <c r="I12" s="17">
        <v>230000</v>
      </c>
      <c r="J12" s="17">
        <v>144400</v>
      </c>
      <c r="K12" s="6"/>
      <c r="L12" s="14" t="s">
        <v>19</v>
      </c>
      <c r="M12" s="6">
        <f t="shared" si="0"/>
        <v>492258</v>
      </c>
      <c r="N12" s="14" t="s">
        <v>21</v>
      </c>
      <c r="O12" s="6">
        <f t="shared" si="1"/>
        <v>246129</v>
      </c>
      <c r="P12" s="6">
        <f t="shared" si="2"/>
        <v>390529</v>
      </c>
      <c r="Q12" s="14" t="s">
        <v>20</v>
      </c>
      <c r="R12" s="31">
        <v>45744</v>
      </c>
      <c r="S12" s="14" t="s">
        <v>161</v>
      </c>
    </row>
    <row r="13" spans="1:30" ht="27.75" x14ac:dyDescent="0.2">
      <c r="A13" s="33">
        <v>45707</v>
      </c>
      <c r="B13" s="14" t="s">
        <v>162</v>
      </c>
      <c r="C13" s="14" t="s">
        <v>163</v>
      </c>
      <c r="D13" s="14" t="s">
        <v>164</v>
      </c>
      <c r="E13" s="14" t="s">
        <v>74</v>
      </c>
      <c r="F13" s="7">
        <v>60000</v>
      </c>
      <c r="G13" s="19"/>
      <c r="H13" s="14"/>
      <c r="I13" s="17"/>
      <c r="J13" s="17"/>
      <c r="K13" s="6"/>
      <c r="L13" s="14" t="s">
        <v>19</v>
      </c>
      <c r="M13" s="6">
        <f t="shared" si="0"/>
        <v>60000</v>
      </c>
      <c r="N13" s="14" t="s">
        <v>21</v>
      </c>
      <c r="O13" s="6">
        <f t="shared" si="1"/>
        <v>30000</v>
      </c>
      <c r="P13" s="6">
        <f t="shared" si="2"/>
        <v>30000</v>
      </c>
      <c r="Q13" s="14" t="s">
        <v>20</v>
      </c>
      <c r="R13" s="31">
        <v>45716</v>
      </c>
      <c r="S13" s="14" t="s">
        <v>165</v>
      </c>
    </row>
    <row r="14" spans="1:30" ht="27.75" x14ac:dyDescent="0.2">
      <c r="A14" s="33">
        <v>45709</v>
      </c>
      <c r="B14" s="14" t="s">
        <v>166</v>
      </c>
      <c r="C14" s="14" t="s">
        <v>167</v>
      </c>
      <c r="D14" s="14" t="s">
        <v>111</v>
      </c>
      <c r="E14" s="14" t="s">
        <v>168</v>
      </c>
      <c r="G14" s="19">
        <v>446660</v>
      </c>
      <c r="H14" s="14" t="s">
        <v>169</v>
      </c>
      <c r="I14" s="17">
        <v>135000</v>
      </c>
      <c r="J14" s="17"/>
      <c r="K14" s="6"/>
      <c r="L14" s="14" t="s">
        <v>19</v>
      </c>
      <c r="M14" s="6">
        <f t="shared" si="0"/>
        <v>311660</v>
      </c>
      <c r="N14" s="14" t="s">
        <v>29</v>
      </c>
      <c r="O14" s="6">
        <f t="shared" si="1"/>
        <v>77915</v>
      </c>
      <c r="P14" s="6">
        <f t="shared" si="2"/>
        <v>155830</v>
      </c>
      <c r="Q14" s="14" t="s">
        <v>20</v>
      </c>
      <c r="R14" s="31">
        <v>45716</v>
      </c>
      <c r="S14" s="14" t="s">
        <v>165</v>
      </c>
    </row>
    <row r="15" spans="1:30" x14ac:dyDescent="0.2">
      <c r="A15" s="33">
        <v>45713</v>
      </c>
      <c r="B15" s="14" t="s">
        <v>170</v>
      </c>
      <c r="C15" s="14"/>
      <c r="D15" s="14" t="s">
        <v>92</v>
      </c>
      <c r="E15" s="14" t="s">
        <v>171</v>
      </c>
      <c r="F15" s="7">
        <v>80000</v>
      </c>
      <c r="G15" s="19"/>
      <c r="H15" s="14"/>
      <c r="I15" s="17"/>
      <c r="J15" s="17"/>
      <c r="K15" s="6"/>
      <c r="L15" s="14" t="s">
        <v>26</v>
      </c>
      <c r="M15" s="6">
        <f t="shared" si="0"/>
        <v>80000</v>
      </c>
      <c r="N15" s="14" t="s">
        <v>21</v>
      </c>
      <c r="O15" s="6">
        <f t="shared" si="1"/>
        <v>40000</v>
      </c>
      <c r="P15" s="6">
        <f t="shared" si="2"/>
        <v>40000</v>
      </c>
      <c r="Q15" s="14"/>
      <c r="R15" s="31"/>
      <c r="S15" s="14"/>
    </row>
    <row r="16" spans="1:30" ht="27.75" x14ac:dyDescent="0.2">
      <c r="A16" s="33">
        <v>45714</v>
      </c>
      <c r="B16" s="14" t="s">
        <v>172</v>
      </c>
      <c r="C16" s="14" t="s">
        <v>173</v>
      </c>
      <c r="D16" s="14" t="s">
        <v>174</v>
      </c>
      <c r="E16" s="14" t="s">
        <v>175</v>
      </c>
      <c r="G16" s="19">
        <v>480000</v>
      </c>
      <c r="H16" s="14"/>
      <c r="I16" s="17"/>
      <c r="J16" s="17"/>
      <c r="K16" s="6"/>
      <c r="L16" s="14" t="s">
        <v>19</v>
      </c>
      <c r="M16" s="6">
        <f t="shared" si="0"/>
        <v>480000</v>
      </c>
      <c r="N16" s="14" t="s">
        <v>21</v>
      </c>
      <c r="O16" s="6">
        <f t="shared" si="1"/>
        <v>240000</v>
      </c>
      <c r="P16" s="6">
        <f t="shared" si="2"/>
        <v>240000</v>
      </c>
      <c r="Q16" s="14" t="s">
        <v>20</v>
      </c>
      <c r="R16" s="31">
        <v>45714</v>
      </c>
      <c r="S16" s="14" t="s">
        <v>176</v>
      </c>
    </row>
    <row r="17" spans="1:19" ht="27.75" x14ac:dyDescent="0.2">
      <c r="A17" s="33">
        <v>45715</v>
      </c>
      <c r="B17" s="14" t="s">
        <v>177</v>
      </c>
      <c r="C17" s="14"/>
      <c r="D17" s="14" t="s">
        <v>57</v>
      </c>
      <c r="E17" s="14" t="s">
        <v>178</v>
      </c>
      <c r="G17" s="19">
        <v>320000</v>
      </c>
      <c r="H17" s="14"/>
      <c r="I17" s="17"/>
      <c r="J17" s="17"/>
      <c r="K17" s="6"/>
      <c r="L17" s="14" t="s">
        <v>26</v>
      </c>
      <c r="M17" s="6">
        <f t="shared" si="0"/>
        <v>320000</v>
      </c>
      <c r="N17" s="14" t="s">
        <v>21</v>
      </c>
      <c r="O17" s="6">
        <f t="shared" si="1"/>
        <v>160000</v>
      </c>
      <c r="P17" s="6">
        <f t="shared" si="2"/>
        <v>160000</v>
      </c>
      <c r="Q17" s="14" t="s">
        <v>20</v>
      </c>
      <c r="R17" s="31">
        <v>45716</v>
      </c>
      <c r="S17" s="14" t="s">
        <v>179</v>
      </c>
    </row>
    <row r="18" spans="1:19" ht="27.75" x14ac:dyDescent="0.2">
      <c r="A18" s="33">
        <v>45715</v>
      </c>
      <c r="B18" s="14" t="s">
        <v>180</v>
      </c>
      <c r="C18" s="14"/>
      <c r="D18" s="14" t="s">
        <v>92</v>
      </c>
      <c r="E18" s="14" t="s">
        <v>181</v>
      </c>
      <c r="G18" s="19"/>
      <c r="H18" s="14"/>
      <c r="I18" s="17"/>
      <c r="J18" s="17"/>
      <c r="K18" s="6"/>
      <c r="L18" s="14"/>
      <c r="M18" s="6">
        <f t="shared" si="0"/>
        <v>0</v>
      </c>
      <c r="N18" s="14"/>
      <c r="O18" s="6" t="str">
        <f t="shared" si="1"/>
        <v/>
      </c>
      <c r="P18" s="6">
        <f t="shared" si="2"/>
        <v>0</v>
      </c>
      <c r="Q18" s="14"/>
      <c r="R18" s="31"/>
      <c r="S18" s="14"/>
    </row>
    <row r="19" spans="1:19" x14ac:dyDescent="0.2">
      <c r="A19" s="33"/>
      <c r="B19" s="14"/>
      <c r="C19" s="14"/>
      <c r="D19" s="14"/>
      <c r="E19" s="14"/>
      <c r="G19" s="19"/>
      <c r="H19" s="14"/>
      <c r="I19" s="17"/>
      <c r="J19" s="17"/>
      <c r="K19" s="6"/>
      <c r="L19" s="14"/>
      <c r="M19" s="6"/>
      <c r="N19" s="14"/>
      <c r="O19" s="6" t="str">
        <f t="shared" si="1"/>
        <v/>
      </c>
      <c r="P19" s="6">
        <f t="shared" si="2"/>
        <v>0</v>
      </c>
      <c r="Q19" s="14"/>
      <c r="R19" s="31"/>
      <c r="S19" s="14"/>
    </row>
    <row r="20" spans="1:19" x14ac:dyDescent="0.2">
      <c r="A20" s="33"/>
      <c r="B20" s="14"/>
      <c r="C20" s="14"/>
      <c r="D20" s="14"/>
      <c r="E20" s="14"/>
      <c r="G20" s="19"/>
      <c r="H20" s="14"/>
      <c r="I20" s="17"/>
      <c r="J20" s="17"/>
      <c r="K20" s="6"/>
      <c r="L20" s="14"/>
      <c r="M20" s="6">
        <f t="shared" si="0"/>
        <v>0</v>
      </c>
      <c r="N20" s="14"/>
      <c r="O20" s="6" t="str">
        <f t="shared" si="1"/>
        <v/>
      </c>
      <c r="P20" s="6">
        <f t="shared" si="2"/>
        <v>0</v>
      </c>
      <c r="Q20" s="14"/>
      <c r="R20" s="31"/>
      <c r="S20" s="14"/>
    </row>
    <row r="21" spans="1:19" x14ac:dyDescent="0.2">
      <c r="A21" s="33"/>
      <c r="B21" s="14"/>
      <c r="C21" s="14"/>
      <c r="D21" s="14"/>
      <c r="E21" s="14"/>
      <c r="G21" s="19"/>
      <c r="H21" s="14"/>
      <c r="I21" s="17"/>
      <c r="J21" s="17"/>
      <c r="K21" s="6"/>
      <c r="L21" s="14"/>
      <c r="M21" s="6"/>
      <c r="N21" s="14"/>
      <c r="O21" s="6"/>
      <c r="P21" s="6"/>
      <c r="Q21" s="14"/>
      <c r="R21" s="31"/>
      <c r="S21" s="14"/>
    </row>
    <row r="22" spans="1:19" x14ac:dyDescent="0.2">
      <c r="A22" s="33"/>
      <c r="B22" s="14"/>
      <c r="C22" s="14"/>
      <c r="D22" s="14"/>
      <c r="E22" s="14"/>
      <c r="G22" s="19"/>
      <c r="H22" s="14"/>
      <c r="I22" s="17"/>
      <c r="J22" s="17"/>
      <c r="K22" s="6"/>
      <c r="L22" s="14"/>
      <c r="M22" s="6">
        <f t="shared" si="0"/>
        <v>0</v>
      </c>
      <c r="N22" s="14"/>
      <c r="O22" s="6" t="str">
        <f t="shared" si="1"/>
        <v/>
      </c>
      <c r="P22" s="6">
        <f t="shared" si="2"/>
        <v>0</v>
      </c>
      <c r="Q22" s="14"/>
      <c r="R22" s="31"/>
      <c r="S22" s="14"/>
    </row>
    <row r="23" spans="1:19" x14ac:dyDescent="0.2">
      <c r="A23" s="33"/>
      <c r="B23" s="14"/>
      <c r="C23" s="14"/>
      <c r="D23" s="14"/>
      <c r="E23" s="14"/>
      <c r="G23" s="19"/>
      <c r="H23" s="14"/>
      <c r="I23" s="17"/>
      <c r="J23" s="17"/>
      <c r="K23" s="6"/>
      <c r="L23" s="14"/>
      <c r="M23" s="6">
        <f t="shared" si="0"/>
        <v>0</v>
      </c>
      <c r="N23" s="14"/>
      <c r="O23" s="6" t="str">
        <f t="shared" si="1"/>
        <v/>
      </c>
      <c r="P23" s="6">
        <f t="shared" si="2"/>
        <v>0</v>
      </c>
      <c r="Q23" s="14"/>
      <c r="R23" s="31"/>
      <c r="S23" s="14"/>
    </row>
    <row r="24" spans="1:19" x14ac:dyDescent="0.2">
      <c r="A24" s="33"/>
      <c r="B24" s="14"/>
      <c r="C24" s="14"/>
      <c r="D24" s="14"/>
      <c r="E24" s="14"/>
      <c r="G24" s="19"/>
      <c r="H24" s="14"/>
      <c r="I24" s="17"/>
      <c r="J24" s="17"/>
      <c r="K24" s="6"/>
      <c r="L24" s="14"/>
      <c r="M24" s="6">
        <f t="shared" si="0"/>
        <v>0</v>
      </c>
      <c r="N24" s="14"/>
      <c r="O24" s="6" t="str">
        <f t="shared" si="1"/>
        <v/>
      </c>
      <c r="P24" s="6">
        <f t="shared" si="2"/>
        <v>0</v>
      </c>
      <c r="Q24" s="14"/>
      <c r="R24" s="31"/>
      <c r="S24" s="14"/>
    </row>
    <row r="25" spans="1:19" x14ac:dyDescent="0.2">
      <c r="A25" s="33"/>
      <c r="B25" s="14"/>
      <c r="C25" s="14"/>
      <c r="D25" s="14"/>
      <c r="E25" s="14"/>
      <c r="G25" s="19"/>
      <c r="H25" s="14"/>
      <c r="I25" s="17"/>
      <c r="J25" s="17"/>
      <c r="K25" s="6"/>
      <c r="L25" s="14"/>
      <c r="M25" s="6">
        <f t="shared" si="0"/>
        <v>0</v>
      </c>
      <c r="N25" s="14"/>
      <c r="O25" s="6" t="str">
        <f t="shared" si="1"/>
        <v/>
      </c>
      <c r="P25" s="6">
        <f t="shared" si="2"/>
        <v>0</v>
      </c>
      <c r="Q25" s="14"/>
      <c r="R25" s="31"/>
      <c r="S25" s="14"/>
    </row>
    <row r="26" spans="1:19" x14ac:dyDescent="0.2">
      <c r="A26" s="33"/>
      <c r="B26" s="14"/>
      <c r="C26" s="14"/>
      <c r="D26" s="14"/>
      <c r="E26" s="14"/>
      <c r="G26" s="19"/>
      <c r="H26" s="14"/>
      <c r="I26" s="17"/>
      <c r="J26" s="17"/>
      <c r="K26" s="6"/>
      <c r="L26" s="14"/>
      <c r="M26" s="6">
        <f t="shared" si="0"/>
        <v>0</v>
      </c>
      <c r="N26" s="14"/>
      <c r="O26" s="6" t="str">
        <f t="shared" si="1"/>
        <v/>
      </c>
      <c r="P26" s="6">
        <f t="shared" si="2"/>
        <v>0</v>
      </c>
      <c r="Q26" s="14"/>
      <c r="R26" s="31"/>
      <c r="S26" s="14"/>
    </row>
    <row r="27" spans="1:19" x14ac:dyDescent="0.2">
      <c r="A27" s="33"/>
      <c r="B27" s="14"/>
      <c r="C27" s="14"/>
      <c r="D27" s="14"/>
      <c r="E27" s="14"/>
      <c r="G27" s="19"/>
      <c r="H27" s="14"/>
      <c r="I27" s="17"/>
      <c r="J27" s="17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31"/>
      <c r="S27" s="14"/>
    </row>
    <row r="28" spans="1:19" x14ac:dyDescent="0.2">
      <c r="A28" s="33"/>
      <c r="B28" s="14"/>
      <c r="C28" s="14"/>
      <c r="D28" s="14"/>
      <c r="E28" s="14"/>
      <c r="G28" s="19"/>
      <c r="H28" s="14"/>
      <c r="I28" s="17"/>
      <c r="J28" s="17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 t="shared" si="2"/>
        <v>0</v>
      </c>
      <c r="Q28" s="14"/>
      <c r="R28" s="31"/>
      <c r="S28" s="14"/>
    </row>
    <row r="29" spans="1:19" x14ac:dyDescent="0.2">
      <c r="A29" s="33"/>
      <c r="B29" s="14"/>
      <c r="C29" s="14"/>
      <c r="D29" s="14"/>
      <c r="E29" s="14"/>
      <c r="G29" s="19"/>
      <c r="H29" s="14"/>
      <c r="I29" s="17"/>
      <c r="J29" s="17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31"/>
      <c r="S29" s="14"/>
    </row>
    <row r="30" spans="1:19" x14ac:dyDescent="0.2">
      <c r="A30" s="33"/>
      <c r="B30" s="14"/>
      <c r="C30" s="14"/>
      <c r="D30" s="14"/>
      <c r="E30" s="14"/>
      <c r="G30" s="19"/>
      <c r="H30" s="14"/>
      <c r="I30" s="17"/>
      <c r="J30" s="17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31"/>
      <c r="S30" s="14"/>
    </row>
    <row r="31" spans="1:19" x14ac:dyDescent="0.2">
      <c r="A31" s="33"/>
      <c r="B31" s="14"/>
      <c r="C31" s="14"/>
      <c r="D31" s="14"/>
      <c r="E31" s="14"/>
      <c r="G31" s="19"/>
      <c r="H31" s="14"/>
      <c r="I31" s="17"/>
      <c r="J31" s="17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31"/>
      <c r="S31" s="14"/>
    </row>
    <row r="32" spans="1:19" x14ac:dyDescent="0.2">
      <c r="A32" s="33"/>
      <c r="B32" s="14"/>
      <c r="C32" s="14"/>
      <c r="D32" s="14"/>
      <c r="E32" s="14"/>
      <c r="G32" s="19"/>
      <c r="H32" s="14"/>
      <c r="I32" s="17"/>
      <c r="J32" s="17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31"/>
      <c r="S32" s="14"/>
    </row>
    <row r="33" spans="1:19" x14ac:dyDescent="0.2">
      <c r="A33" s="33"/>
      <c r="B33" s="14"/>
      <c r="C33" s="14"/>
      <c r="D33" s="14"/>
      <c r="E33" s="14"/>
      <c r="G33" s="19"/>
      <c r="H33" s="14"/>
      <c r="I33" s="17"/>
      <c r="J33" s="17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31"/>
      <c r="S33" s="14"/>
    </row>
    <row r="34" spans="1:19" x14ac:dyDescent="0.2">
      <c r="A34" s="33"/>
      <c r="B34" s="14"/>
      <c r="C34" s="14"/>
      <c r="D34" s="14"/>
      <c r="E34" s="14"/>
      <c r="G34" s="19"/>
      <c r="H34" s="14"/>
      <c r="I34" s="17"/>
      <c r="J34" s="17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31"/>
      <c r="S34" s="14"/>
    </row>
    <row r="35" spans="1:19" x14ac:dyDescent="0.2">
      <c r="A35" s="33"/>
      <c r="B35" s="14"/>
      <c r="C35" s="14"/>
      <c r="D35" s="14"/>
      <c r="E35" s="14"/>
      <c r="G35" s="19"/>
      <c r="H35" s="14"/>
      <c r="I35" s="17"/>
      <c r="J35" s="17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31"/>
      <c r="S35" s="14"/>
    </row>
    <row r="36" spans="1:19" x14ac:dyDescent="0.2">
      <c r="A36" s="33"/>
      <c r="B36" s="14"/>
      <c r="C36" s="14"/>
      <c r="D36" s="14"/>
      <c r="E36" s="14"/>
      <c r="G36" s="19"/>
      <c r="H36" s="14"/>
      <c r="I36" s="17"/>
      <c r="J36" s="17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31"/>
      <c r="S36" s="14"/>
    </row>
    <row r="37" spans="1:19" x14ac:dyDescent="0.2">
      <c r="A37" s="33"/>
      <c r="B37" s="14"/>
      <c r="C37" s="14"/>
      <c r="D37" s="14"/>
      <c r="E37" s="14"/>
      <c r="G37" s="19"/>
      <c r="H37" s="14"/>
      <c r="I37" s="17"/>
      <c r="J37" s="17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31"/>
      <c r="S37" s="14"/>
    </row>
    <row r="38" spans="1:19" x14ac:dyDescent="0.2">
      <c r="A38" s="33"/>
      <c r="B38" s="14"/>
      <c r="C38" s="14"/>
      <c r="D38" s="14"/>
      <c r="E38" s="14"/>
      <c r="G38" s="19"/>
      <c r="H38" s="14"/>
      <c r="I38" s="17"/>
      <c r="J38" s="17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31"/>
      <c r="S38" s="14"/>
    </row>
    <row r="39" spans="1:19" x14ac:dyDescent="0.2">
      <c r="A39" s="33"/>
      <c r="B39" s="14"/>
      <c r="C39" s="14"/>
      <c r="D39" s="14"/>
      <c r="E39" s="14"/>
      <c r="G39" s="19"/>
      <c r="H39" s="14"/>
      <c r="I39" s="17"/>
      <c r="J39" s="17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31"/>
      <c r="S39" s="14"/>
    </row>
    <row r="40" spans="1:19" x14ac:dyDescent="0.2">
      <c r="A40" s="33"/>
      <c r="B40" s="14"/>
      <c r="C40" s="14"/>
      <c r="D40" s="14"/>
      <c r="E40" s="14"/>
      <c r="G40" s="19"/>
      <c r="H40" s="14"/>
      <c r="I40" s="17"/>
      <c r="J40" s="17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31"/>
      <c r="S40" s="14"/>
    </row>
    <row r="41" spans="1:19" x14ac:dyDescent="0.2">
      <c r="A41" s="34" t="s">
        <v>119</v>
      </c>
      <c r="F41" s="13"/>
      <c r="S41" s="15">
        <f>SUBTOTAL(103,Tabla13[[NOTAS ]])</f>
        <v>11</v>
      </c>
    </row>
  </sheetData>
  <conditionalFormatting sqref="A2:S8 A9:R9 A10:S41">
    <cfRule type="expression" dxfId="123" priority="7" stopIfTrue="1">
      <formula>$Q2="YA RELACIONADO"</formula>
    </cfRule>
    <cfRule type="expression" dxfId="122" priority="8" stopIfTrue="1">
      <formula>$Q2="COTIZACIÓN"</formula>
    </cfRule>
    <cfRule type="expression" dxfId="121" priority="9" stopIfTrue="1">
      <formula>$Q2="NO PAGARON DOMICILIO"</formula>
    </cfRule>
    <cfRule type="expression" dxfId="120" priority="10" stopIfTrue="1">
      <formula>$Q2="NO SE COBRA DOMICILIO"</formula>
    </cfRule>
    <cfRule type="expression" dxfId="119" priority="11" stopIfTrue="1">
      <formula>$Q2="GARANTIA"</formula>
    </cfRule>
    <cfRule type="expression" dxfId="118" priority="12" stopIfTrue="1">
      <formula>$Q2="CANCELADO"</formula>
    </cfRule>
  </conditionalFormatting>
  <conditionalFormatting sqref="S9">
    <cfRule type="expression" dxfId="117" priority="1" stopIfTrue="1">
      <formula>$Q9="YA RELACIONADO"</formula>
    </cfRule>
    <cfRule type="expression" dxfId="116" priority="2" stopIfTrue="1">
      <formula>$Q9="COTIZACIÓN"</formula>
    </cfRule>
    <cfRule type="expression" dxfId="115" priority="3" stopIfTrue="1">
      <formula>$Q9="NO PAGARON DOMICILIO"</formula>
    </cfRule>
    <cfRule type="expression" dxfId="114" priority="4" stopIfTrue="1">
      <formula>$Q9="NO SE COBRA DOMICILIO"</formula>
    </cfRule>
    <cfRule type="expression" dxfId="113" priority="5" stopIfTrue="1">
      <formula>$Q9="GARANTIA"</formula>
    </cfRule>
    <cfRule type="expression" dxfId="112" priority="6" stopIfTrue="1">
      <formula>$Q9="CANCELADO"</formula>
    </cfRule>
  </conditionalFormatting>
  <dataValidations count="3">
    <dataValidation type="list" allowBlank="1" showInputMessage="1" showErrorMessage="1" sqref="N2:N40" xr:uid="{26D131CC-D53B-4357-811C-398B94F3282C}">
      <formula1>$AD$1:$AD$2</formula1>
    </dataValidation>
    <dataValidation type="list" allowBlank="1" showInputMessage="1" showErrorMessage="1" sqref="L2:L40" xr:uid="{1189FC44-F31A-47F6-A392-AE85A28B2258}">
      <formula1>$AB$1:$AB$2</formula1>
    </dataValidation>
    <dataValidation type="list" allowBlank="1" showInputMessage="1" showErrorMessage="1" sqref="Q2:Q40" xr:uid="{FD60161A-2A42-4F46-8025-1347D906AE6D}">
      <formula1>$AC$1:$AC$7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8C9F-8881-43CF-B686-408C3D728476}">
  <sheetPr codeName="Hoja3">
    <tabColor rgb="FFC00000"/>
  </sheetPr>
  <dimension ref="A1:AD41"/>
  <sheetViews>
    <sheetView topLeftCell="O17" zoomScale="83" zoomScaleNormal="100" workbookViewId="0">
      <selection activeCell="S24" sqref="S24"/>
    </sheetView>
  </sheetViews>
  <sheetFormatPr defaultColWidth="10.76171875" defaultRowHeight="15" x14ac:dyDescent="0.2"/>
  <cols>
    <col min="1" max="1" width="30.53515625" style="32" customWidth="1"/>
    <col min="2" max="2" width="22.46484375" customWidth="1"/>
    <col min="3" max="3" width="19.37109375" style="15" customWidth="1"/>
    <col min="4" max="4" width="18.96484375" customWidth="1"/>
    <col min="5" max="5" width="37.53125" style="15" customWidth="1"/>
    <col min="6" max="6" width="17.08203125" style="7" customWidth="1"/>
    <col min="7" max="7" width="16.41015625" style="26" customWidth="1"/>
    <col min="8" max="8" width="39.546875" customWidth="1"/>
    <col min="9" max="9" width="19.234375" style="28" customWidth="1"/>
    <col min="10" max="10" width="11.56640625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12" customWidth="1"/>
    <col min="18" max="18" width="36.58984375" style="32" customWidth="1"/>
    <col min="19" max="19" width="47.62109375" style="15" customWidth="1"/>
    <col min="28" max="28" width="17.75390625" customWidth="1"/>
    <col min="29" max="29" width="26.36328125" customWidth="1"/>
  </cols>
  <sheetData>
    <row r="1" spans="1:30" x14ac:dyDescent="0.2">
      <c r="A1" s="31" t="s">
        <v>0</v>
      </c>
      <c r="B1" s="1" t="s">
        <v>1</v>
      </c>
      <c r="C1" s="14" t="s">
        <v>2</v>
      </c>
      <c r="D1" s="1" t="s">
        <v>3</v>
      </c>
      <c r="E1" s="14" t="s">
        <v>4</v>
      </c>
      <c r="F1" s="7" t="s">
        <v>5</v>
      </c>
      <c r="G1" s="24" t="s">
        <v>6</v>
      </c>
      <c r="H1" s="1" t="s">
        <v>7</v>
      </c>
      <c r="I1" s="27" t="s">
        <v>8</v>
      </c>
      <c r="J1" s="1" t="s">
        <v>9</v>
      </c>
      <c r="K1" s="6" t="s">
        <v>10</v>
      </c>
      <c r="L1" s="1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31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ht="27.75" x14ac:dyDescent="0.2">
      <c r="A2" s="33">
        <v>45719</v>
      </c>
      <c r="B2" s="14" t="s">
        <v>182</v>
      </c>
      <c r="C2" s="14" t="s">
        <v>183</v>
      </c>
      <c r="D2" s="14">
        <v>909</v>
      </c>
      <c r="E2" s="14" t="s">
        <v>32</v>
      </c>
      <c r="G2" s="25">
        <v>60000</v>
      </c>
      <c r="H2" s="14"/>
      <c r="I2" s="27"/>
      <c r="J2" s="17"/>
      <c r="K2" s="6"/>
      <c r="L2" s="14" t="s">
        <v>26</v>
      </c>
      <c r="M2" s="6">
        <f t="shared" ref="M2:M4" si="0">(F2+G2-I2-K2)</f>
        <v>60000</v>
      </c>
      <c r="N2" s="14" t="s">
        <v>21</v>
      </c>
      <c r="O2" s="6">
        <f t="shared" ref="O2:O4" si="1">IF(N2="X25%",M2*0.25,IF(N2="X50%",M2/2,""))</f>
        <v>30000</v>
      </c>
      <c r="P2" s="6">
        <f t="shared" ref="P2:P4" si="2">(M2/2+J2)</f>
        <v>30000</v>
      </c>
      <c r="Q2" s="14" t="s">
        <v>20</v>
      </c>
      <c r="R2" s="31"/>
      <c r="S2" s="14" t="s">
        <v>573</v>
      </c>
      <c r="AB2" s="1" t="s">
        <v>26</v>
      </c>
      <c r="AC2" s="14" t="s">
        <v>28</v>
      </c>
      <c r="AD2" s="14" t="s">
        <v>29</v>
      </c>
    </row>
    <row r="3" spans="1:30" ht="27.75" x14ac:dyDescent="0.2">
      <c r="A3" s="33">
        <v>45720</v>
      </c>
      <c r="B3" s="14" t="s">
        <v>184</v>
      </c>
      <c r="C3" s="14" t="s">
        <v>185</v>
      </c>
      <c r="D3" s="14">
        <v>210</v>
      </c>
      <c r="E3" s="14" t="s">
        <v>130</v>
      </c>
      <c r="F3" s="7">
        <v>60000</v>
      </c>
      <c r="G3" s="25"/>
      <c r="H3" s="14"/>
      <c r="I3" s="27"/>
      <c r="J3" s="17"/>
      <c r="K3" s="6"/>
      <c r="L3" s="14" t="s">
        <v>26</v>
      </c>
      <c r="M3" s="6">
        <f t="shared" si="0"/>
        <v>60000</v>
      </c>
      <c r="N3" s="14" t="s">
        <v>21</v>
      </c>
      <c r="O3" s="6">
        <f t="shared" si="1"/>
        <v>30000</v>
      </c>
      <c r="P3" s="6">
        <f t="shared" si="2"/>
        <v>30000</v>
      </c>
      <c r="Q3" s="14" t="s">
        <v>20</v>
      </c>
      <c r="R3" s="31"/>
      <c r="S3" s="14" t="s">
        <v>573</v>
      </c>
      <c r="AC3" s="14" t="s">
        <v>33</v>
      </c>
    </row>
    <row r="4" spans="1:30" ht="27.75" x14ac:dyDescent="0.2">
      <c r="A4" s="33">
        <v>45720</v>
      </c>
      <c r="B4" s="14" t="s">
        <v>186</v>
      </c>
      <c r="C4" s="14" t="s">
        <v>187</v>
      </c>
      <c r="D4" s="14" t="s">
        <v>107</v>
      </c>
      <c r="E4" s="14" t="s">
        <v>188</v>
      </c>
      <c r="G4" s="25">
        <v>480000</v>
      </c>
      <c r="H4" s="14" t="s">
        <v>189</v>
      </c>
      <c r="I4" s="27">
        <v>118500</v>
      </c>
      <c r="J4" s="17"/>
      <c r="K4" s="6"/>
      <c r="L4" s="14" t="s">
        <v>19</v>
      </c>
      <c r="M4" s="6">
        <f t="shared" si="0"/>
        <v>361500</v>
      </c>
      <c r="N4" s="14" t="s">
        <v>21</v>
      </c>
      <c r="O4" s="6">
        <f t="shared" si="1"/>
        <v>180750</v>
      </c>
      <c r="P4" s="6">
        <f t="shared" si="2"/>
        <v>180750</v>
      </c>
      <c r="Q4" s="14" t="s">
        <v>50</v>
      </c>
      <c r="R4" s="31"/>
      <c r="S4" s="14"/>
      <c r="AC4" s="14" t="s">
        <v>35</v>
      </c>
    </row>
    <row r="5" spans="1:30" ht="27.75" x14ac:dyDescent="0.2">
      <c r="A5" s="31">
        <v>45723</v>
      </c>
      <c r="B5" s="1" t="s">
        <v>190</v>
      </c>
      <c r="C5" s="14"/>
      <c r="D5" s="1" t="s">
        <v>107</v>
      </c>
      <c r="E5" s="14" t="s">
        <v>191</v>
      </c>
      <c r="G5" s="24">
        <v>400000</v>
      </c>
      <c r="H5" s="14" t="s">
        <v>192</v>
      </c>
      <c r="I5" s="27">
        <v>22500</v>
      </c>
      <c r="J5" s="1"/>
      <c r="K5" s="6"/>
      <c r="L5" s="14" t="s">
        <v>19</v>
      </c>
      <c r="M5" s="6">
        <f t="shared" ref="M5:M40" si="3">(F5+G5-I5-K5)</f>
        <v>377500</v>
      </c>
      <c r="N5" s="14" t="s">
        <v>21</v>
      </c>
      <c r="O5" s="6">
        <f t="shared" ref="O5:O40" si="4">IF(N5="X25%",M5*0.25,IF(N5="X50%",M5/2,""))</f>
        <v>188750</v>
      </c>
      <c r="P5" s="6">
        <f t="shared" ref="P5:P40" si="5">(M5/2+J5)</f>
        <v>188750</v>
      </c>
      <c r="Q5" s="14" t="s">
        <v>20</v>
      </c>
      <c r="R5" s="31">
        <v>45727</v>
      </c>
      <c r="S5" s="14" t="s">
        <v>193</v>
      </c>
      <c r="AC5" s="14" t="s">
        <v>39</v>
      </c>
    </row>
    <row r="6" spans="1:30" ht="27.75" x14ac:dyDescent="0.2">
      <c r="A6" s="31">
        <v>45726</v>
      </c>
      <c r="B6" s="1" t="s">
        <v>194</v>
      </c>
      <c r="C6" s="14" t="s">
        <v>195</v>
      </c>
      <c r="D6" s="1" t="s">
        <v>196</v>
      </c>
      <c r="E6" s="14" t="s">
        <v>197</v>
      </c>
      <c r="G6" s="24"/>
      <c r="H6" s="14"/>
      <c r="I6" s="27"/>
      <c r="J6" s="1"/>
      <c r="K6" s="6"/>
      <c r="L6" s="14" t="s">
        <v>19</v>
      </c>
      <c r="M6" s="6">
        <f t="shared" si="3"/>
        <v>0</v>
      </c>
      <c r="N6" s="14" t="s">
        <v>21</v>
      </c>
      <c r="O6" s="6">
        <f t="shared" si="4"/>
        <v>0</v>
      </c>
      <c r="P6" s="6">
        <f t="shared" si="5"/>
        <v>0</v>
      </c>
      <c r="Q6" s="14"/>
      <c r="R6" s="31"/>
      <c r="S6" s="14"/>
      <c r="AC6" s="14" t="s">
        <v>45</v>
      </c>
    </row>
    <row r="7" spans="1:30" ht="27.75" x14ac:dyDescent="0.2">
      <c r="A7" s="31">
        <v>45726</v>
      </c>
      <c r="B7" s="1" t="s">
        <v>198</v>
      </c>
      <c r="C7" s="14"/>
      <c r="D7" s="1" t="s">
        <v>92</v>
      </c>
      <c r="E7" s="14" t="s">
        <v>199</v>
      </c>
      <c r="F7" s="7">
        <v>80000</v>
      </c>
      <c r="G7" s="24"/>
      <c r="H7" s="14"/>
      <c r="I7" s="27"/>
      <c r="J7" s="1"/>
      <c r="K7" s="6"/>
      <c r="L7" s="14" t="s">
        <v>26</v>
      </c>
      <c r="M7" s="6">
        <f t="shared" si="3"/>
        <v>80000</v>
      </c>
      <c r="N7" s="14" t="s">
        <v>21</v>
      </c>
      <c r="O7" s="6">
        <f t="shared" si="4"/>
        <v>40000</v>
      </c>
      <c r="P7" s="6">
        <f t="shared" si="5"/>
        <v>40000</v>
      </c>
      <c r="Q7" s="14" t="s">
        <v>20</v>
      </c>
      <c r="R7" s="31"/>
      <c r="S7" s="14" t="s">
        <v>573</v>
      </c>
      <c r="AC7" s="14" t="s">
        <v>50</v>
      </c>
    </row>
    <row r="8" spans="1:30" ht="27.75" x14ac:dyDescent="0.2">
      <c r="A8" s="31">
        <v>45726</v>
      </c>
      <c r="B8" s="1" t="s">
        <v>200</v>
      </c>
      <c r="C8" s="14" t="s">
        <v>201</v>
      </c>
      <c r="D8" s="1" t="s">
        <v>202</v>
      </c>
      <c r="E8" s="14" t="s">
        <v>203</v>
      </c>
      <c r="G8" s="24"/>
      <c r="H8" s="14"/>
      <c r="I8" s="27"/>
      <c r="J8" s="1"/>
      <c r="K8" s="6"/>
      <c r="L8" s="14"/>
      <c r="M8" s="6">
        <f t="shared" si="3"/>
        <v>0</v>
      </c>
      <c r="N8" s="14"/>
      <c r="O8" s="6" t="str">
        <f t="shared" si="4"/>
        <v/>
      </c>
      <c r="P8" s="6">
        <f t="shared" si="5"/>
        <v>0</v>
      </c>
      <c r="Q8" s="14"/>
      <c r="R8" s="31"/>
      <c r="S8" s="14"/>
    </row>
    <row r="9" spans="1:30" ht="27.75" x14ac:dyDescent="0.2">
      <c r="A9" s="31">
        <v>45727</v>
      </c>
      <c r="B9" s="1" t="s">
        <v>204</v>
      </c>
      <c r="C9" s="14"/>
      <c r="D9" s="1" t="s">
        <v>57</v>
      </c>
      <c r="E9" s="14" t="s">
        <v>205</v>
      </c>
      <c r="G9" s="24">
        <v>600000</v>
      </c>
      <c r="H9" s="14"/>
      <c r="I9" s="27"/>
      <c r="J9" s="1"/>
      <c r="K9" s="6"/>
      <c r="L9" s="14" t="s">
        <v>19</v>
      </c>
      <c r="M9" s="6">
        <f t="shared" si="3"/>
        <v>600000</v>
      </c>
      <c r="N9" s="14" t="s">
        <v>21</v>
      </c>
      <c r="O9" s="6">
        <f t="shared" si="4"/>
        <v>300000</v>
      </c>
      <c r="P9" s="6">
        <f t="shared" si="5"/>
        <v>300000</v>
      </c>
      <c r="Q9" s="14" t="s">
        <v>20</v>
      </c>
      <c r="R9" s="31">
        <v>45768</v>
      </c>
      <c r="S9" s="14" t="s">
        <v>206</v>
      </c>
    </row>
    <row r="10" spans="1:30" x14ac:dyDescent="0.2">
      <c r="A10" s="31">
        <v>45728</v>
      </c>
      <c r="B10" s="1" t="s">
        <v>207</v>
      </c>
      <c r="C10" s="14" t="s">
        <v>208</v>
      </c>
      <c r="D10" s="1" t="s">
        <v>107</v>
      </c>
      <c r="E10" s="14" t="s">
        <v>209</v>
      </c>
      <c r="G10" s="24">
        <v>80000</v>
      </c>
      <c r="H10" s="14"/>
      <c r="I10" s="27"/>
      <c r="J10" s="1"/>
      <c r="K10" s="6"/>
      <c r="L10" s="14" t="s">
        <v>19</v>
      </c>
      <c r="M10" s="6">
        <f t="shared" si="3"/>
        <v>80000</v>
      </c>
      <c r="N10" s="14" t="s">
        <v>21</v>
      </c>
      <c r="O10" s="6">
        <f t="shared" si="4"/>
        <v>40000</v>
      </c>
      <c r="P10" s="6">
        <f t="shared" si="5"/>
        <v>40000</v>
      </c>
      <c r="Q10" s="14" t="s">
        <v>20</v>
      </c>
      <c r="R10" s="31">
        <v>45728</v>
      </c>
      <c r="S10" s="14" t="s">
        <v>210</v>
      </c>
    </row>
    <row r="11" spans="1:30" x14ac:dyDescent="0.2">
      <c r="A11" s="31">
        <v>45728</v>
      </c>
      <c r="B11" s="1" t="s">
        <v>211</v>
      </c>
      <c r="C11" s="14" t="s">
        <v>212</v>
      </c>
      <c r="D11" s="1"/>
      <c r="E11" s="14" t="s">
        <v>213</v>
      </c>
      <c r="G11" s="24"/>
      <c r="H11" s="14"/>
      <c r="I11" s="27"/>
      <c r="J11" s="1"/>
      <c r="K11" s="6"/>
      <c r="L11" s="14"/>
      <c r="M11" s="6">
        <f t="shared" si="3"/>
        <v>0</v>
      </c>
      <c r="N11" s="14" t="s">
        <v>21</v>
      </c>
      <c r="O11" s="6">
        <f t="shared" si="4"/>
        <v>0</v>
      </c>
      <c r="P11" s="6">
        <f t="shared" si="5"/>
        <v>0</v>
      </c>
      <c r="Q11" s="14"/>
      <c r="R11" s="31"/>
      <c r="S11" s="14"/>
    </row>
    <row r="12" spans="1:30" x14ac:dyDescent="0.2">
      <c r="A12" s="31">
        <v>45733</v>
      </c>
      <c r="B12" s="1" t="s">
        <v>214</v>
      </c>
      <c r="C12" s="14" t="s">
        <v>215</v>
      </c>
      <c r="D12" s="1">
        <v>202</v>
      </c>
      <c r="E12" s="14" t="s">
        <v>216</v>
      </c>
      <c r="G12" s="24"/>
      <c r="H12" s="14"/>
      <c r="I12" s="27"/>
      <c r="J12" s="1"/>
      <c r="K12" s="6"/>
      <c r="L12" s="14" t="s">
        <v>19</v>
      </c>
      <c r="M12" s="6">
        <f t="shared" si="3"/>
        <v>0</v>
      </c>
      <c r="N12" s="14" t="s">
        <v>21</v>
      </c>
      <c r="O12" s="6">
        <f t="shared" si="4"/>
        <v>0</v>
      </c>
      <c r="P12" s="6">
        <f t="shared" si="5"/>
        <v>0</v>
      </c>
      <c r="Q12" s="14" t="s">
        <v>50</v>
      </c>
      <c r="R12" s="31"/>
      <c r="S12" s="14"/>
    </row>
    <row r="13" spans="1:30" ht="27.75" x14ac:dyDescent="0.2">
      <c r="A13" s="31">
        <v>45733</v>
      </c>
      <c r="B13" s="1" t="s">
        <v>217</v>
      </c>
      <c r="C13" s="14" t="s">
        <v>218</v>
      </c>
      <c r="D13" s="1" t="s">
        <v>219</v>
      </c>
      <c r="E13" s="14" t="s">
        <v>220</v>
      </c>
      <c r="G13" s="24">
        <v>120000</v>
      </c>
      <c r="H13" s="14"/>
      <c r="I13" s="27"/>
      <c r="J13" s="1">
        <v>22800</v>
      </c>
      <c r="K13" s="6"/>
      <c r="L13" s="14" t="s">
        <v>19</v>
      </c>
      <c r="M13" s="6">
        <f t="shared" si="3"/>
        <v>120000</v>
      </c>
      <c r="N13" s="14" t="s">
        <v>21</v>
      </c>
      <c r="O13" s="6">
        <f t="shared" si="4"/>
        <v>60000</v>
      </c>
      <c r="P13" s="6">
        <f t="shared" si="5"/>
        <v>82800</v>
      </c>
      <c r="Q13" s="14" t="s">
        <v>50</v>
      </c>
      <c r="R13" s="31"/>
      <c r="S13" s="14"/>
    </row>
    <row r="14" spans="1:30" x14ac:dyDescent="0.2">
      <c r="A14" s="31">
        <v>45734</v>
      </c>
      <c r="B14" s="1" t="s">
        <v>221</v>
      </c>
      <c r="C14" s="14" t="s">
        <v>222</v>
      </c>
      <c r="D14" s="1" t="s">
        <v>223</v>
      </c>
      <c r="E14" s="14" t="s">
        <v>224</v>
      </c>
      <c r="G14" s="24"/>
      <c r="H14" s="14"/>
      <c r="I14" s="27"/>
      <c r="J14" s="1"/>
      <c r="K14" s="6"/>
      <c r="L14" s="14" t="s">
        <v>19</v>
      </c>
      <c r="M14" s="6">
        <f t="shared" si="3"/>
        <v>0</v>
      </c>
      <c r="N14" s="14" t="s">
        <v>21</v>
      </c>
      <c r="O14" s="6">
        <f t="shared" si="4"/>
        <v>0</v>
      </c>
      <c r="P14" s="6">
        <f t="shared" si="5"/>
        <v>0</v>
      </c>
      <c r="Q14" s="14" t="s">
        <v>33</v>
      </c>
      <c r="R14" s="31"/>
      <c r="S14" s="14"/>
    </row>
    <row r="15" spans="1:30" ht="27.75" x14ac:dyDescent="0.2">
      <c r="A15" s="31">
        <v>45734</v>
      </c>
      <c r="B15" s="1" t="s">
        <v>225</v>
      </c>
      <c r="C15" s="14" t="s">
        <v>226</v>
      </c>
      <c r="D15" s="1" t="s">
        <v>107</v>
      </c>
      <c r="E15" s="14" t="s">
        <v>227</v>
      </c>
      <c r="G15" s="24"/>
      <c r="H15" s="14"/>
      <c r="I15" s="27"/>
      <c r="J15" s="1"/>
      <c r="K15" s="6"/>
      <c r="L15" s="14"/>
      <c r="M15" s="6">
        <f t="shared" si="3"/>
        <v>0</v>
      </c>
      <c r="N15" s="14"/>
      <c r="O15" s="6" t="str">
        <f t="shared" si="4"/>
        <v/>
      </c>
      <c r="P15" s="6">
        <f t="shared" si="5"/>
        <v>0</v>
      </c>
      <c r="Q15" s="14" t="s">
        <v>33</v>
      </c>
      <c r="R15" s="31"/>
      <c r="S15" s="14"/>
    </row>
    <row r="16" spans="1:30" ht="27.75" x14ac:dyDescent="0.2">
      <c r="A16" s="31">
        <v>45734</v>
      </c>
      <c r="B16" s="1" t="s">
        <v>228</v>
      </c>
      <c r="C16" s="14" t="s">
        <v>229</v>
      </c>
      <c r="D16" s="1" t="s">
        <v>92</v>
      </c>
      <c r="E16" s="14" t="s">
        <v>230</v>
      </c>
      <c r="F16" s="7">
        <v>40000</v>
      </c>
      <c r="G16" s="24"/>
      <c r="H16" s="14"/>
      <c r="I16" s="27"/>
      <c r="J16" s="1"/>
      <c r="K16" s="6"/>
      <c r="L16" s="14" t="s">
        <v>19</v>
      </c>
      <c r="M16" s="6">
        <f t="shared" si="3"/>
        <v>40000</v>
      </c>
      <c r="N16" s="14" t="s">
        <v>21</v>
      </c>
      <c r="O16" s="6">
        <f t="shared" si="4"/>
        <v>20000</v>
      </c>
      <c r="P16" s="6">
        <f t="shared" si="5"/>
        <v>20000</v>
      </c>
      <c r="Q16" s="14" t="s">
        <v>20</v>
      </c>
      <c r="R16" s="31">
        <v>45743</v>
      </c>
      <c r="S16" s="14" t="s">
        <v>231</v>
      </c>
    </row>
    <row r="17" spans="1:19" ht="27.75" x14ac:dyDescent="0.2">
      <c r="A17" s="31">
        <v>45735</v>
      </c>
      <c r="B17" s="1" t="s">
        <v>232</v>
      </c>
      <c r="C17" s="14" t="s">
        <v>233</v>
      </c>
      <c r="D17" s="1" t="s">
        <v>107</v>
      </c>
      <c r="E17" s="14" t="s">
        <v>234</v>
      </c>
      <c r="G17" s="24"/>
      <c r="H17" s="14"/>
      <c r="I17" s="27"/>
      <c r="J17" s="1"/>
      <c r="K17" s="6"/>
      <c r="L17" s="14"/>
      <c r="M17" s="6">
        <f t="shared" si="3"/>
        <v>0</v>
      </c>
      <c r="N17" s="14"/>
      <c r="O17" s="6" t="str">
        <f t="shared" si="4"/>
        <v/>
      </c>
      <c r="P17" s="6">
        <f t="shared" si="5"/>
        <v>0</v>
      </c>
      <c r="Q17" s="14" t="s">
        <v>35</v>
      </c>
      <c r="R17" s="31"/>
      <c r="S17" s="14"/>
    </row>
    <row r="18" spans="1:19" x14ac:dyDescent="0.2">
      <c r="A18" s="31">
        <v>45735</v>
      </c>
      <c r="B18" s="1" t="s">
        <v>235</v>
      </c>
      <c r="C18" s="14" t="s">
        <v>236</v>
      </c>
      <c r="D18" s="1" t="s">
        <v>92</v>
      </c>
      <c r="E18" s="14" t="s">
        <v>237</v>
      </c>
      <c r="F18" s="7">
        <v>80000</v>
      </c>
      <c r="G18" s="24"/>
      <c r="H18" s="14"/>
      <c r="I18" s="27"/>
      <c r="J18" s="1">
        <v>15200</v>
      </c>
      <c r="K18" s="6"/>
      <c r="L18" s="14" t="s">
        <v>26</v>
      </c>
      <c r="M18" s="6">
        <f t="shared" si="3"/>
        <v>80000</v>
      </c>
      <c r="N18" s="14" t="s">
        <v>21</v>
      </c>
      <c r="O18" s="6">
        <f t="shared" si="4"/>
        <v>40000</v>
      </c>
      <c r="P18" s="6">
        <f t="shared" si="5"/>
        <v>55200</v>
      </c>
      <c r="Q18" s="14"/>
      <c r="R18" s="31"/>
      <c r="S18" s="14"/>
    </row>
    <row r="19" spans="1:19" x14ac:dyDescent="0.2">
      <c r="A19" s="31">
        <v>45735</v>
      </c>
      <c r="B19" s="1" t="s">
        <v>238</v>
      </c>
      <c r="C19" s="14" t="s">
        <v>239</v>
      </c>
      <c r="D19" s="1" t="s">
        <v>240</v>
      </c>
      <c r="E19" s="14" t="s">
        <v>241</v>
      </c>
      <c r="F19" s="7">
        <v>120000</v>
      </c>
      <c r="G19" s="24"/>
      <c r="H19" s="14"/>
      <c r="I19" s="27"/>
      <c r="J19" s="1">
        <v>22800</v>
      </c>
      <c r="K19" s="6"/>
      <c r="L19" s="14" t="s">
        <v>26</v>
      </c>
      <c r="M19" s="6">
        <f t="shared" si="3"/>
        <v>120000</v>
      </c>
      <c r="N19" s="14" t="s">
        <v>21</v>
      </c>
      <c r="O19" s="6">
        <f t="shared" si="4"/>
        <v>60000</v>
      </c>
      <c r="P19" s="6">
        <f t="shared" si="5"/>
        <v>82800</v>
      </c>
      <c r="Q19" s="14"/>
      <c r="R19" s="31"/>
      <c r="S19" s="14"/>
    </row>
    <row r="20" spans="1:19" ht="41.25" x14ac:dyDescent="0.2">
      <c r="A20" s="31">
        <v>45735</v>
      </c>
      <c r="B20" s="1" t="s">
        <v>242</v>
      </c>
      <c r="C20" s="14" t="s">
        <v>243</v>
      </c>
      <c r="D20" s="1" t="s">
        <v>244</v>
      </c>
      <c r="E20" s="14" t="s">
        <v>245</v>
      </c>
      <c r="G20" s="24"/>
      <c r="H20" s="14"/>
      <c r="I20" s="27"/>
      <c r="J20" s="1"/>
      <c r="K20" s="6"/>
      <c r="L20" s="14" t="s">
        <v>19</v>
      </c>
      <c r="M20" s="6">
        <f t="shared" si="3"/>
        <v>0</v>
      </c>
      <c r="N20" s="14" t="s">
        <v>29</v>
      </c>
      <c r="O20" s="6">
        <f t="shared" si="4"/>
        <v>0</v>
      </c>
      <c r="P20" s="6">
        <f t="shared" si="5"/>
        <v>0</v>
      </c>
      <c r="Q20" s="14" t="s">
        <v>28</v>
      </c>
      <c r="R20" s="31"/>
      <c r="S20" s="14" t="s">
        <v>246</v>
      </c>
    </row>
    <row r="21" spans="1:19" ht="41.25" x14ac:dyDescent="0.2">
      <c r="A21" s="31">
        <v>45737</v>
      </c>
      <c r="B21" s="1" t="s">
        <v>225</v>
      </c>
      <c r="C21" s="14" t="s">
        <v>226</v>
      </c>
      <c r="D21" s="1" t="s">
        <v>107</v>
      </c>
      <c r="E21" s="14" t="s">
        <v>247</v>
      </c>
      <c r="G21" s="24">
        <v>1100000</v>
      </c>
      <c r="H21" s="14" t="s">
        <v>248</v>
      </c>
      <c r="I21" s="27">
        <v>325400</v>
      </c>
      <c r="J21" s="1"/>
      <c r="K21" s="6"/>
      <c r="L21" s="14" t="s">
        <v>19</v>
      </c>
      <c r="M21" s="6">
        <f t="shared" si="3"/>
        <v>774600</v>
      </c>
      <c r="N21" s="14" t="s">
        <v>21</v>
      </c>
      <c r="O21" s="6">
        <f t="shared" si="4"/>
        <v>387300</v>
      </c>
      <c r="P21" s="6">
        <f t="shared" si="5"/>
        <v>387300</v>
      </c>
      <c r="Q21" s="14" t="s">
        <v>20</v>
      </c>
      <c r="R21" s="31">
        <v>45742</v>
      </c>
      <c r="S21" s="14" t="s">
        <v>249</v>
      </c>
    </row>
    <row r="22" spans="1:19" ht="41.25" x14ac:dyDescent="0.2">
      <c r="A22" s="31">
        <v>45741</v>
      </c>
      <c r="B22" s="1" t="s">
        <v>250</v>
      </c>
      <c r="C22" s="14" t="s">
        <v>251</v>
      </c>
      <c r="D22" s="1" t="s">
        <v>252</v>
      </c>
      <c r="E22" s="14" t="s">
        <v>253</v>
      </c>
      <c r="G22" s="24"/>
      <c r="H22" s="14"/>
      <c r="I22" s="27"/>
      <c r="J22" s="1"/>
      <c r="K22" s="6"/>
      <c r="L22" s="14" t="s">
        <v>19</v>
      </c>
      <c r="M22" s="6">
        <f t="shared" si="3"/>
        <v>0</v>
      </c>
      <c r="N22" s="14" t="s">
        <v>29</v>
      </c>
      <c r="O22" s="6">
        <f t="shared" si="4"/>
        <v>0</v>
      </c>
      <c r="P22" s="6">
        <f t="shared" si="5"/>
        <v>0</v>
      </c>
      <c r="Q22" s="14" t="s">
        <v>50</v>
      </c>
      <c r="R22" s="31"/>
      <c r="S22" s="14"/>
    </row>
    <row r="23" spans="1:19" ht="27.75" x14ac:dyDescent="0.2">
      <c r="A23" s="31">
        <v>45741</v>
      </c>
      <c r="B23" s="1" t="s">
        <v>221</v>
      </c>
      <c r="C23" s="14" t="s">
        <v>222</v>
      </c>
      <c r="D23" s="1" t="s">
        <v>223</v>
      </c>
      <c r="E23" s="14" t="s">
        <v>569</v>
      </c>
      <c r="G23" s="24"/>
      <c r="H23" s="14"/>
      <c r="I23" s="27"/>
      <c r="J23" s="1"/>
      <c r="K23" s="6"/>
      <c r="L23" s="14" t="s">
        <v>19</v>
      </c>
      <c r="M23" s="6">
        <f t="shared" si="3"/>
        <v>0</v>
      </c>
      <c r="N23" s="14" t="s">
        <v>29</v>
      </c>
      <c r="O23" s="6">
        <f t="shared" si="4"/>
        <v>0</v>
      </c>
      <c r="P23" s="6">
        <f t="shared" si="5"/>
        <v>0</v>
      </c>
      <c r="Q23" s="14" t="s">
        <v>50</v>
      </c>
      <c r="R23" s="31"/>
      <c r="S23" s="14"/>
    </row>
    <row r="24" spans="1:19" ht="27.75" x14ac:dyDescent="0.2">
      <c r="A24" s="31">
        <v>45742</v>
      </c>
      <c r="B24" s="1" t="s">
        <v>254</v>
      </c>
      <c r="C24" s="14"/>
      <c r="D24" s="1" t="s">
        <v>92</v>
      </c>
      <c r="E24" s="14" t="s">
        <v>255</v>
      </c>
      <c r="G24" s="24"/>
      <c r="H24" s="14"/>
      <c r="I24" s="27"/>
      <c r="J24" s="1"/>
      <c r="K24" s="6"/>
      <c r="L24" s="14" t="s">
        <v>19</v>
      </c>
      <c r="M24" s="6">
        <f t="shared" si="3"/>
        <v>0</v>
      </c>
      <c r="N24" s="14" t="s">
        <v>21</v>
      </c>
      <c r="O24" s="6">
        <f t="shared" si="4"/>
        <v>0</v>
      </c>
      <c r="P24" s="6">
        <f t="shared" si="5"/>
        <v>0</v>
      </c>
      <c r="Q24" s="14" t="s">
        <v>35</v>
      </c>
      <c r="R24" s="31"/>
      <c r="S24" s="14" t="s">
        <v>718</v>
      </c>
    </row>
    <row r="25" spans="1:19" x14ac:dyDescent="0.2">
      <c r="A25" s="31">
        <v>45743</v>
      </c>
      <c r="B25" s="1" t="s">
        <v>256</v>
      </c>
      <c r="C25" s="14" t="s">
        <v>257</v>
      </c>
      <c r="D25" s="1" t="s">
        <v>92</v>
      </c>
      <c r="E25" s="14" t="s">
        <v>258</v>
      </c>
      <c r="F25" s="7">
        <v>80000</v>
      </c>
      <c r="G25" s="24"/>
      <c r="H25" s="14"/>
      <c r="I25" s="27"/>
      <c r="J25" s="1"/>
      <c r="K25" s="6"/>
      <c r="L25" s="14" t="s">
        <v>19</v>
      </c>
      <c r="M25" s="6">
        <f t="shared" si="3"/>
        <v>80000</v>
      </c>
      <c r="N25" s="14" t="s">
        <v>21</v>
      </c>
      <c r="O25" s="6">
        <f t="shared" si="4"/>
        <v>40000</v>
      </c>
      <c r="P25" s="6">
        <f t="shared" si="5"/>
        <v>40000</v>
      </c>
      <c r="Q25" s="14" t="s">
        <v>20</v>
      </c>
      <c r="R25" s="31">
        <v>45743</v>
      </c>
      <c r="S25" s="14" t="s">
        <v>249</v>
      </c>
    </row>
    <row r="26" spans="1:19" ht="27.75" x14ac:dyDescent="0.2">
      <c r="A26" s="31">
        <v>45743</v>
      </c>
      <c r="B26" s="1" t="s">
        <v>259</v>
      </c>
      <c r="C26" s="14" t="s">
        <v>260</v>
      </c>
      <c r="D26" s="1" t="s">
        <v>261</v>
      </c>
      <c r="E26" s="14" t="s">
        <v>262</v>
      </c>
      <c r="G26" s="24"/>
      <c r="H26" s="14"/>
      <c r="I26" s="27"/>
      <c r="J26" s="1"/>
      <c r="K26" s="6"/>
      <c r="L26" s="14" t="s">
        <v>19</v>
      </c>
      <c r="M26" s="6">
        <f t="shared" si="3"/>
        <v>0</v>
      </c>
      <c r="N26" s="14" t="s">
        <v>21</v>
      </c>
      <c r="O26" s="6">
        <f t="shared" si="4"/>
        <v>0</v>
      </c>
      <c r="P26" s="6">
        <f t="shared" si="5"/>
        <v>0</v>
      </c>
      <c r="Q26" s="14" t="s">
        <v>50</v>
      </c>
      <c r="R26" s="31"/>
      <c r="S26" s="14"/>
    </row>
    <row r="27" spans="1:19" ht="27.75" x14ac:dyDescent="0.2">
      <c r="A27" s="31">
        <v>45745</v>
      </c>
      <c r="B27" s="1" t="s">
        <v>238</v>
      </c>
      <c r="C27" s="14" t="s">
        <v>239</v>
      </c>
      <c r="D27" s="1" t="s">
        <v>240</v>
      </c>
      <c r="E27" s="14" t="s">
        <v>263</v>
      </c>
      <c r="G27" s="24"/>
      <c r="H27" s="14"/>
      <c r="I27" s="27"/>
      <c r="J27" s="1"/>
      <c r="K27" s="6"/>
      <c r="L27" s="14" t="s">
        <v>19</v>
      </c>
      <c r="M27" s="6">
        <f t="shared" si="3"/>
        <v>0</v>
      </c>
      <c r="N27" s="14" t="s">
        <v>21</v>
      </c>
      <c r="O27" s="6">
        <f t="shared" si="4"/>
        <v>0</v>
      </c>
      <c r="P27" s="6">
        <f t="shared" si="5"/>
        <v>0</v>
      </c>
      <c r="Q27" s="14" t="s">
        <v>50</v>
      </c>
      <c r="R27" s="31"/>
      <c r="S27" s="14"/>
    </row>
    <row r="28" spans="1:19" ht="27.75" x14ac:dyDescent="0.2">
      <c r="A28" s="31">
        <v>45745</v>
      </c>
      <c r="B28" s="1" t="s">
        <v>264</v>
      </c>
      <c r="C28" s="14" t="s">
        <v>265</v>
      </c>
      <c r="D28" s="1" t="s">
        <v>219</v>
      </c>
      <c r="E28" s="14" t="s">
        <v>130</v>
      </c>
      <c r="G28" s="24"/>
      <c r="H28" s="14"/>
      <c r="I28" s="27"/>
      <c r="J28" s="1"/>
      <c r="K28" s="6"/>
      <c r="L28" s="14"/>
      <c r="M28" s="6">
        <f t="shared" si="3"/>
        <v>0</v>
      </c>
      <c r="N28" s="14" t="s">
        <v>21</v>
      </c>
      <c r="O28" s="6">
        <f t="shared" si="4"/>
        <v>0</v>
      </c>
      <c r="P28" s="6">
        <f t="shared" si="5"/>
        <v>0</v>
      </c>
      <c r="Q28" s="14" t="s">
        <v>33</v>
      </c>
      <c r="R28" s="31"/>
      <c r="S28" s="14"/>
    </row>
    <row r="29" spans="1:19" ht="27.75" x14ac:dyDescent="0.2">
      <c r="A29" s="31">
        <v>45747</v>
      </c>
      <c r="B29" s="1" t="s">
        <v>266</v>
      </c>
      <c r="C29" s="14" t="s">
        <v>267</v>
      </c>
      <c r="D29" s="1" t="s">
        <v>268</v>
      </c>
      <c r="E29" s="14" t="s">
        <v>269</v>
      </c>
      <c r="G29" s="24"/>
      <c r="H29" s="14"/>
      <c r="I29" s="27"/>
      <c r="J29" s="1"/>
      <c r="K29" s="6"/>
      <c r="L29" s="14" t="s">
        <v>19</v>
      </c>
      <c r="M29" s="6">
        <f t="shared" si="3"/>
        <v>0</v>
      </c>
      <c r="N29" s="14" t="s">
        <v>21</v>
      </c>
      <c r="O29" s="6">
        <f t="shared" si="4"/>
        <v>0</v>
      </c>
      <c r="P29" s="6">
        <f t="shared" si="5"/>
        <v>0</v>
      </c>
      <c r="Q29" s="14" t="s">
        <v>20</v>
      </c>
      <c r="R29" s="31">
        <v>45819</v>
      </c>
      <c r="S29" s="14" t="s">
        <v>270</v>
      </c>
    </row>
    <row r="30" spans="1:19" x14ac:dyDescent="0.2">
      <c r="A30" s="31"/>
      <c r="B30" s="1"/>
      <c r="C30" s="14"/>
      <c r="D30" s="1"/>
      <c r="E30" s="14"/>
      <c r="G30" s="24"/>
      <c r="H30" s="14"/>
      <c r="I30" s="27"/>
      <c r="J30" s="1"/>
      <c r="K30" s="6"/>
      <c r="L30" s="14"/>
      <c r="M30" s="6">
        <f t="shared" si="3"/>
        <v>0</v>
      </c>
      <c r="N30" s="14"/>
      <c r="O30" s="6" t="str">
        <f t="shared" si="4"/>
        <v/>
      </c>
      <c r="P30" s="6">
        <f t="shared" si="5"/>
        <v>0</v>
      </c>
      <c r="Q30" s="14"/>
      <c r="R30" s="31"/>
      <c r="S30" s="14"/>
    </row>
    <row r="31" spans="1:19" x14ac:dyDescent="0.2">
      <c r="A31" s="31"/>
      <c r="B31" s="1"/>
      <c r="C31" s="14"/>
      <c r="D31" s="1"/>
      <c r="E31" s="14"/>
      <c r="G31" s="24"/>
      <c r="H31" s="14"/>
      <c r="I31" s="27"/>
      <c r="J31" s="1"/>
      <c r="K31" s="6"/>
      <c r="L31" s="14"/>
      <c r="M31" s="6">
        <f t="shared" si="3"/>
        <v>0</v>
      </c>
      <c r="N31" s="14"/>
      <c r="O31" s="6" t="str">
        <f t="shared" si="4"/>
        <v/>
      </c>
      <c r="P31" s="6">
        <f t="shared" si="5"/>
        <v>0</v>
      </c>
      <c r="Q31" s="14"/>
      <c r="R31" s="31"/>
      <c r="S31" s="14"/>
    </row>
    <row r="32" spans="1:19" x14ac:dyDescent="0.2">
      <c r="A32" s="31"/>
      <c r="B32" s="1"/>
      <c r="C32" s="14"/>
      <c r="D32" s="1"/>
      <c r="E32" s="14"/>
      <c r="G32" s="24"/>
      <c r="H32" s="14"/>
      <c r="I32" s="27"/>
      <c r="J32" s="1"/>
      <c r="K32" s="6"/>
      <c r="L32" s="14"/>
      <c r="M32" s="6">
        <f t="shared" si="3"/>
        <v>0</v>
      </c>
      <c r="N32" s="14"/>
      <c r="O32" s="6" t="str">
        <f t="shared" si="4"/>
        <v/>
      </c>
      <c r="P32" s="6">
        <f t="shared" si="5"/>
        <v>0</v>
      </c>
      <c r="Q32" s="14"/>
      <c r="R32" s="31"/>
      <c r="S32" s="14"/>
    </row>
    <row r="33" spans="1:19" x14ac:dyDescent="0.2">
      <c r="A33" s="31"/>
      <c r="B33" s="1"/>
      <c r="C33" s="14"/>
      <c r="D33" s="1"/>
      <c r="E33" s="14"/>
      <c r="G33" s="24"/>
      <c r="H33" s="14"/>
      <c r="I33" s="27"/>
      <c r="J33" s="1"/>
      <c r="K33" s="6"/>
      <c r="L33" s="14"/>
      <c r="M33" s="6">
        <f t="shared" si="3"/>
        <v>0</v>
      </c>
      <c r="N33" s="14"/>
      <c r="O33" s="6" t="str">
        <f t="shared" si="4"/>
        <v/>
      </c>
      <c r="P33" s="6">
        <f t="shared" si="5"/>
        <v>0</v>
      </c>
      <c r="Q33" s="14"/>
      <c r="R33" s="31"/>
      <c r="S33" s="14"/>
    </row>
    <row r="34" spans="1:19" x14ac:dyDescent="0.2">
      <c r="A34" s="31"/>
      <c r="B34" s="1"/>
      <c r="C34" s="14"/>
      <c r="D34" s="1"/>
      <c r="E34" s="14"/>
      <c r="G34" s="24"/>
      <c r="H34" s="14"/>
      <c r="I34" s="27"/>
      <c r="J34" s="1"/>
      <c r="K34" s="6"/>
      <c r="L34" s="14"/>
      <c r="M34" s="6">
        <f t="shared" si="3"/>
        <v>0</v>
      </c>
      <c r="N34" s="14"/>
      <c r="O34" s="6" t="str">
        <f t="shared" si="4"/>
        <v/>
      </c>
      <c r="P34" s="6">
        <f t="shared" si="5"/>
        <v>0</v>
      </c>
      <c r="Q34" s="14"/>
      <c r="R34" s="31"/>
      <c r="S34" s="14"/>
    </row>
    <row r="35" spans="1:19" x14ac:dyDescent="0.2">
      <c r="A35" s="31"/>
      <c r="B35" s="1"/>
      <c r="C35" s="14"/>
      <c r="D35" s="1"/>
      <c r="E35" s="14"/>
      <c r="G35" s="24"/>
      <c r="H35" s="14"/>
      <c r="I35" s="27"/>
      <c r="J35" s="1"/>
      <c r="K35" s="6"/>
      <c r="L35" s="14"/>
      <c r="M35" s="6">
        <f t="shared" si="3"/>
        <v>0</v>
      </c>
      <c r="N35" s="14"/>
      <c r="O35" s="6" t="str">
        <f t="shared" si="4"/>
        <v/>
      </c>
      <c r="P35" s="6">
        <f t="shared" si="5"/>
        <v>0</v>
      </c>
      <c r="Q35" s="14"/>
      <c r="R35" s="31"/>
      <c r="S35" s="14"/>
    </row>
    <row r="36" spans="1:19" x14ac:dyDescent="0.2">
      <c r="A36" s="31"/>
      <c r="B36" s="1"/>
      <c r="C36" s="14"/>
      <c r="D36" s="1"/>
      <c r="E36" s="14"/>
      <c r="G36" s="24"/>
      <c r="H36" s="14"/>
      <c r="I36" s="27"/>
      <c r="J36" s="1"/>
      <c r="K36" s="6"/>
      <c r="L36" s="14"/>
      <c r="M36" s="6">
        <f t="shared" si="3"/>
        <v>0</v>
      </c>
      <c r="N36" s="14"/>
      <c r="O36" s="6" t="str">
        <f t="shared" si="4"/>
        <v/>
      </c>
      <c r="P36" s="6">
        <f t="shared" si="5"/>
        <v>0</v>
      </c>
      <c r="Q36" s="14"/>
      <c r="R36" s="31"/>
      <c r="S36" s="14"/>
    </row>
    <row r="37" spans="1:19" x14ac:dyDescent="0.2">
      <c r="A37" s="31"/>
      <c r="B37" s="1"/>
      <c r="C37" s="14"/>
      <c r="D37" s="1"/>
      <c r="E37" s="14"/>
      <c r="G37" s="24"/>
      <c r="H37" s="14"/>
      <c r="I37" s="27"/>
      <c r="J37" s="1"/>
      <c r="K37" s="6"/>
      <c r="L37" s="14"/>
      <c r="M37" s="6">
        <f t="shared" si="3"/>
        <v>0</v>
      </c>
      <c r="N37" s="14"/>
      <c r="O37" s="6" t="str">
        <f t="shared" si="4"/>
        <v/>
      </c>
      <c r="P37" s="6">
        <f t="shared" si="5"/>
        <v>0</v>
      </c>
      <c r="Q37" s="14"/>
      <c r="R37" s="31"/>
      <c r="S37" s="14"/>
    </row>
    <row r="38" spans="1:19" x14ac:dyDescent="0.2">
      <c r="A38" s="31"/>
      <c r="B38" s="1"/>
      <c r="C38" s="14"/>
      <c r="D38" s="1"/>
      <c r="E38" s="14"/>
      <c r="G38" s="24"/>
      <c r="H38" s="14"/>
      <c r="I38" s="27"/>
      <c r="J38" s="1"/>
      <c r="K38" s="6"/>
      <c r="L38" s="14"/>
      <c r="M38" s="6">
        <f t="shared" si="3"/>
        <v>0</v>
      </c>
      <c r="N38" s="14"/>
      <c r="O38" s="6" t="str">
        <f t="shared" si="4"/>
        <v/>
      </c>
      <c r="P38" s="6">
        <f t="shared" si="5"/>
        <v>0</v>
      </c>
      <c r="Q38" s="14"/>
      <c r="R38" s="31"/>
      <c r="S38" s="14"/>
    </row>
    <row r="39" spans="1:19" x14ac:dyDescent="0.2">
      <c r="A39" s="31"/>
      <c r="B39" s="1"/>
      <c r="C39" s="14"/>
      <c r="D39" s="1"/>
      <c r="E39" s="14"/>
      <c r="G39" s="24"/>
      <c r="H39" s="14"/>
      <c r="I39" s="27"/>
      <c r="J39" s="1"/>
      <c r="K39" s="6"/>
      <c r="L39" s="14"/>
      <c r="M39" s="6">
        <f t="shared" si="3"/>
        <v>0</v>
      </c>
      <c r="N39" s="14"/>
      <c r="O39" s="6" t="str">
        <f t="shared" si="4"/>
        <v/>
      </c>
      <c r="P39" s="6">
        <f t="shared" si="5"/>
        <v>0</v>
      </c>
      <c r="Q39" s="14"/>
      <c r="R39" s="31"/>
      <c r="S39" s="14"/>
    </row>
    <row r="40" spans="1:19" x14ac:dyDescent="0.2">
      <c r="A40" s="31"/>
      <c r="B40" s="1"/>
      <c r="C40" s="14"/>
      <c r="D40" s="1"/>
      <c r="E40" s="14"/>
      <c r="G40" s="24"/>
      <c r="H40" s="14"/>
      <c r="I40" s="27"/>
      <c r="J40" s="1"/>
      <c r="K40" s="6"/>
      <c r="L40" s="14"/>
      <c r="M40" s="6">
        <f t="shared" si="3"/>
        <v>0</v>
      </c>
      <c r="N40" s="14"/>
      <c r="O40" s="6" t="str">
        <f t="shared" si="4"/>
        <v/>
      </c>
      <c r="P40" s="6">
        <f t="shared" si="5"/>
        <v>0</v>
      </c>
      <c r="Q40" s="14"/>
      <c r="R40" s="31"/>
      <c r="S40" s="14"/>
    </row>
    <row r="41" spans="1:19" x14ac:dyDescent="0.2">
      <c r="A41" s="32" t="s">
        <v>119</v>
      </c>
      <c r="F41" s="13"/>
      <c r="H41" s="15"/>
      <c r="I41" s="29"/>
      <c r="S41" s="15">
        <f>SUBTOTAL(103,Tabla14[[NOTAS ]])</f>
        <v>12</v>
      </c>
    </row>
  </sheetData>
  <conditionalFormatting sqref="A2:S41">
    <cfRule type="expression" dxfId="111" priority="1" stopIfTrue="1">
      <formula>$Q2="YA RELACIONADO"</formula>
    </cfRule>
    <cfRule type="expression" dxfId="110" priority="2" stopIfTrue="1">
      <formula>$Q2="COTIZACIÓN"</formula>
    </cfRule>
    <cfRule type="expression" dxfId="109" priority="3" stopIfTrue="1">
      <formula>$Q2="NO PAGARON DOMICILIO"</formula>
    </cfRule>
    <cfRule type="expression" dxfId="108" priority="4" stopIfTrue="1">
      <formula>$Q2="NO SE COBRA DOMICILIO"</formula>
    </cfRule>
    <cfRule type="expression" dxfId="107" priority="5" stopIfTrue="1">
      <formula>$Q2="GARANTIA"</formula>
    </cfRule>
    <cfRule type="expression" dxfId="106" priority="6" stopIfTrue="1">
      <formula>$Q2="CANCELADO"</formula>
    </cfRule>
  </conditionalFormatting>
  <dataValidations count="3">
    <dataValidation type="list" allowBlank="1" showInputMessage="1" showErrorMessage="1" sqref="N2:N40" xr:uid="{9157587A-2B72-4F37-8234-00C41F412D1F}">
      <formula1>$AD$1:$AD$2</formula1>
    </dataValidation>
    <dataValidation type="list" allowBlank="1" showInputMessage="1" showErrorMessage="1" sqref="L2:L40" xr:uid="{A9C15810-2E35-44D8-8E42-F27EA1D6C157}">
      <formula1>$AB$1:$AB$2</formula1>
    </dataValidation>
    <dataValidation type="list" allowBlank="1" showInputMessage="1" showErrorMessage="1" sqref="Q2:Q40" xr:uid="{A3EF27FE-7C7A-469B-B01F-44E711758C76}">
      <formula1>$AC$1:$AC$7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46ED-301E-4FAC-B78D-27CE15B0CA53}">
  <sheetPr codeName="Hoja4">
    <tabColor rgb="FFC00000"/>
  </sheetPr>
  <dimension ref="A1:AD41"/>
  <sheetViews>
    <sheetView zoomScale="71" zoomScaleNormal="100" workbookViewId="0">
      <selection activeCell="T11" sqref="T11"/>
    </sheetView>
  </sheetViews>
  <sheetFormatPr defaultColWidth="10.76171875" defaultRowHeight="15" x14ac:dyDescent="0.2"/>
  <cols>
    <col min="1" max="1" width="29.19140625" style="34" customWidth="1"/>
    <col min="2" max="2" width="23.5390625" style="15" customWidth="1"/>
    <col min="3" max="3" width="17.484375" style="15" customWidth="1"/>
    <col min="4" max="4" width="16.54296875" style="15" customWidth="1"/>
    <col min="5" max="5" width="46.2734375" style="15" customWidth="1"/>
    <col min="6" max="6" width="17.08203125" style="7" customWidth="1"/>
    <col min="7" max="7" width="16.41015625" style="10" customWidth="1"/>
    <col min="8" max="8" width="39.546875" customWidth="1"/>
    <col min="9" max="9" width="19.234375" style="20" customWidth="1"/>
    <col min="10" max="10" width="11.56640625" style="10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12" customWidth="1"/>
    <col min="18" max="18" width="36.58984375" style="32" customWidth="1"/>
    <col min="19" max="19" width="47.62109375" style="15" customWidth="1"/>
    <col min="28" max="28" width="17.75390625" customWidth="1"/>
    <col min="29" max="29" width="26.36328125" customWidth="1"/>
  </cols>
  <sheetData>
    <row r="1" spans="1:30" x14ac:dyDescent="0.2">
      <c r="A1" s="3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7" t="s">
        <v>5</v>
      </c>
      <c r="G1" s="6" t="s">
        <v>6</v>
      </c>
      <c r="H1" s="1" t="s">
        <v>7</v>
      </c>
      <c r="I1" s="19" t="s">
        <v>8</v>
      </c>
      <c r="J1" s="6" t="s">
        <v>9</v>
      </c>
      <c r="K1" s="6" t="s">
        <v>10</v>
      </c>
      <c r="L1" s="1" t="s">
        <v>271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31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ht="68.25" x14ac:dyDescent="0.2">
      <c r="A2" s="33">
        <v>45749</v>
      </c>
      <c r="B2" s="14" t="s">
        <v>264</v>
      </c>
      <c r="C2" s="14"/>
      <c r="D2" s="14" t="s">
        <v>111</v>
      </c>
      <c r="E2" s="14" t="s">
        <v>570</v>
      </c>
      <c r="G2" s="6">
        <v>420000</v>
      </c>
      <c r="H2" s="1" t="s">
        <v>272</v>
      </c>
      <c r="I2" s="19">
        <v>64500</v>
      </c>
      <c r="J2" s="6">
        <v>79800</v>
      </c>
      <c r="K2" s="6"/>
      <c r="L2" s="14" t="s">
        <v>19</v>
      </c>
      <c r="M2" s="6">
        <f t="shared" ref="M2:M40" si="0">(F2+G2-I2-K2)</f>
        <v>355500</v>
      </c>
      <c r="N2" s="14" t="s">
        <v>29</v>
      </c>
      <c r="O2" s="6">
        <f t="shared" ref="O2:O40" si="1">IF(N2="X25%",M2*0.25,IF(N2="X50%",M2/2,""))</f>
        <v>88875</v>
      </c>
      <c r="P2" s="6">
        <f t="shared" ref="P2:P40" si="2">(M2/2+J2)</f>
        <v>257550</v>
      </c>
      <c r="Q2" s="14" t="s">
        <v>20</v>
      </c>
      <c r="R2" s="31">
        <v>45757</v>
      </c>
      <c r="S2" s="14" t="s">
        <v>571</v>
      </c>
      <c r="AB2" s="1" t="s">
        <v>26</v>
      </c>
      <c r="AC2" s="14" t="s">
        <v>28</v>
      </c>
      <c r="AD2" s="14" t="s">
        <v>29</v>
      </c>
    </row>
    <row r="3" spans="1:30" x14ac:dyDescent="0.2">
      <c r="A3" s="33">
        <v>45750</v>
      </c>
      <c r="B3" s="14" t="s">
        <v>273</v>
      </c>
      <c r="C3" s="14" t="s">
        <v>274</v>
      </c>
      <c r="D3" s="14">
        <v>301</v>
      </c>
      <c r="E3" s="14" t="s">
        <v>275</v>
      </c>
      <c r="G3" s="6">
        <v>65000</v>
      </c>
      <c r="H3" s="1"/>
      <c r="I3" s="19"/>
      <c r="J3" s="6"/>
      <c r="K3" s="6"/>
      <c r="L3" s="14" t="s">
        <v>26</v>
      </c>
      <c r="M3" s="6">
        <f t="shared" si="0"/>
        <v>65000</v>
      </c>
      <c r="N3" s="14" t="s">
        <v>21</v>
      </c>
      <c r="O3" s="6">
        <f t="shared" si="1"/>
        <v>32500</v>
      </c>
      <c r="P3" s="6">
        <f t="shared" si="2"/>
        <v>32500</v>
      </c>
      <c r="Q3" s="14" t="s">
        <v>20</v>
      </c>
      <c r="R3" s="31">
        <v>45750</v>
      </c>
      <c r="S3" s="14" t="s">
        <v>276</v>
      </c>
      <c r="AC3" s="14" t="s">
        <v>33</v>
      </c>
    </row>
    <row r="4" spans="1:30" ht="27.75" x14ac:dyDescent="0.2">
      <c r="A4" s="33">
        <v>45750</v>
      </c>
      <c r="B4" s="14" t="s">
        <v>277</v>
      </c>
      <c r="C4" s="14" t="s">
        <v>278</v>
      </c>
      <c r="D4" s="14" t="s">
        <v>31</v>
      </c>
      <c r="E4" s="14" t="s">
        <v>279</v>
      </c>
      <c r="G4" s="6">
        <v>480000</v>
      </c>
      <c r="H4" s="1" t="s">
        <v>280</v>
      </c>
      <c r="I4" s="19">
        <v>111500</v>
      </c>
      <c r="J4" s="6"/>
      <c r="K4" s="6"/>
      <c r="L4" s="14" t="s">
        <v>26</v>
      </c>
      <c r="M4" s="6">
        <f t="shared" si="0"/>
        <v>368500</v>
      </c>
      <c r="N4" s="14" t="s">
        <v>21</v>
      </c>
      <c r="O4" s="6">
        <f t="shared" si="1"/>
        <v>184250</v>
      </c>
      <c r="P4" s="6">
        <f t="shared" si="2"/>
        <v>184250</v>
      </c>
      <c r="Q4" s="14" t="s">
        <v>20</v>
      </c>
      <c r="R4" s="31">
        <v>45750</v>
      </c>
      <c r="S4" s="14" t="s">
        <v>276</v>
      </c>
      <c r="AC4" s="14" t="s">
        <v>35</v>
      </c>
    </row>
    <row r="5" spans="1:30" ht="27.75" x14ac:dyDescent="0.2">
      <c r="A5" s="33">
        <v>45761</v>
      </c>
      <c r="B5" s="14" t="s">
        <v>281</v>
      </c>
      <c r="C5" s="14"/>
      <c r="D5" s="14" t="s">
        <v>107</v>
      </c>
      <c r="E5" s="14" t="s">
        <v>282</v>
      </c>
      <c r="F5" s="7">
        <v>60000</v>
      </c>
      <c r="G5" s="6"/>
      <c r="H5" s="1"/>
      <c r="I5" s="19"/>
      <c r="J5" s="6">
        <v>11400</v>
      </c>
      <c r="K5" s="6"/>
      <c r="L5" s="14" t="s">
        <v>26</v>
      </c>
      <c r="M5" s="6">
        <f t="shared" si="0"/>
        <v>60000</v>
      </c>
      <c r="N5" s="14" t="s">
        <v>21</v>
      </c>
      <c r="O5" s="6">
        <f t="shared" si="1"/>
        <v>30000</v>
      </c>
      <c r="P5" s="6">
        <f t="shared" si="2"/>
        <v>41400</v>
      </c>
      <c r="Q5" s="14" t="s">
        <v>20</v>
      </c>
      <c r="R5" s="31">
        <v>45761</v>
      </c>
      <c r="S5" s="14" t="s">
        <v>283</v>
      </c>
      <c r="AC5" s="14" t="s">
        <v>39</v>
      </c>
    </row>
    <row r="6" spans="1:30" ht="27.75" x14ac:dyDescent="0.2">
      <c r="A6" s="33">
        <v>45762</v>
      </c>
      <c r="B6" s="14" t="s">
        <v>284</v>
      </c>
      <c r="C6" s="14" t="s">
        <v>285</v>
      </c>
      <c r="D6" s="14" t="s">
        <v>111</v>
      </c>
      <c r="E6" s="14" t="s">
        <v>286</v>
      </c>
      <c r="G6" s="6">
        <v>120000</v>
      </c>
      <c r="H6" s="1"/>
      <c r="I6" s="19"/>
      <c r="J6" s="6"/>
      <c r="K6" s="6"/>
      <c r="L6" s="14" t="s">
        <v>19</v>
      </c>
      <c r="M6" s="6">
        <f t="shared" si="0"/>
        <v>120000</v>
      </c>
      <c r="N6" s="14" t="s">
        <v>21</v>
      </c>
      <c r="O6" s="6">
        <f t="shared" si="1"/>
        <v>60000</v>
      </c>
      <c r="P6" s="6">
        <f t="shared" si="2"/>
        <v>60000</v>
      </c>
      <c r="Q6" s="14" t="s">
        <v>20</v>
      </c>
      <c r="R6" s="31">
        <v>45782</v>
      </c>
      <c r="S6" s="14" t="s">
        <v>287</v>
      </c>
      <c r="AC6" s="14" t="s">
        <v>45</v>
      </c>
    </row>
    <row r="7" spans="1:30" x14ac:dyDescent="0.2">
      <c r="A7" s="33">
        <v>45767</v>
      </c>
      <c r="B7" s="14" t="s">
        <v>288</v>
      </c>
      <c r="C7" s="14" t="s">
        <v>289</v>
      </c>
      <c r="D7" s="14" t="s">
        <v>31</v>
      </c>
      <c r="E7" s="14" t="s">
        <v>290</v>
      </c>
      <c r="G7" s="6">
        <v>70000</v>
      </c>
      <c r="H7" s="1"/>
      <c r="I7" s="19"/>
      <c r="J7" s="6"/>
      <c r="K7" s="6"/>
      <c r="L7" s="14" t="s">
        <v>26</v>
      </c>
      <c r="M7" s="6">
        <f t="shared" si="0"/>
        <v>70000</v>
      </c>
      <c r="N7" s="14" t="s">
        <v>21</v>
      </c>
      <c r="O7" s="6">
        <f t="shared" si="1"/>
        <v>35000</v>
      </c>
      <c r="P7" s="6">
        <f t="shared" si="2"/>
        <v>35000</v>
      </c>
      <c r="Q7" s="14" t="s">
        <v>20</v>
      </c>
      <c r="R7" s="31">
        <v>45771</v>
      </c>
      <c r="S7" s="14" t="s">
        <v>276</v>
      </c>
      <c r="AC7" s="14" t="s">
        <v>50</v>
      </c>
    </row>
    <row r="8" spans="1:30" ht="27.75" x14ac:dyDescent="0.2">
      <c r="A8" s="33">
        <v>45768</v>
      </c>
      <c r="B8" s="14" t="s">
        <v>177</v>
      </c>
      <c r="C8" s="14" t="s">
        <v>291</v>
      </c>
      <c r="D8" s="14" t="s">
        <v>107</v>
      </c>
      <c r="E8" s="14" t="s">
        <v>292</v>
      </c>
      <c r="G8" s="6"/>
      <c r="H8" s="1"/>
      <c r="I8" s="19"/>
      <c r="J8" s="6"/>
      <c r="K8" s="6"/>
      <c r="L8" s="14"/>
      <c r="M8" s="6">
        <f t="shared" si="0"/>
        <v>0</v>
      </c>
      <c r="N8" s="14"/>
      <c r="O8" s="6" t="str">
        <f t="shared" si="1"/>
        <v/>
      </c>
      <c r="P8" s="6">
        <f t="shared" si="2"/>
        <v>0</v>
      </c>
      <c r="Q8" s="14" t="s">
        <v>45</v>
      </c>
      <c r="R8" s="31"/>
      <c r="S8" s="14" t="s">
        <v>293</v>
      </c>
    </row>
    <row r="9" spans="1:30" x14ac:dyDescent="0.2">
      <c r="A9" s="33">
        <v>45769</v>
      </c>
      <c r="B9" s="14" t="s">
        <v>294</v>
      </c>
      <c r="C9" s="14" t="s">
        <v>295</v>
      </c>
      <c r="D9" s="14" t="s">
        <v>31</v>
      </c>
      <c r="E9" s="14" t="s">
        <v>296</v>
      </c>
      <c r="F9" s="7">
        <v>90000</v>
      </c>
      <c r="G9" s="6"/>
      <c r="H9" s="1"/>
      <c r="I9" s="19"/>
      <c r="J9" s="6"/>
      <c r="K9" s="6"/>
      <c r="L9" s="14" t="s">
        <v>26</v>
      </c>
      <c r="M9" s="6">
        <f t="shared" si="0"/>
        <v>90000</v>
      </c>
      <c r="N9" s="14" t="s">
        <v>21</v>
      </c>
      <c r="O9" s="6">
        <f t="shared" si="1"/>
        <v>45000</v>
      </c>
      <c r="P9" s="6">
        <f t="shared" si="2"/>
        <v>45000</v>
      </c>
      <c r="Q9" s="14" t="s">
        <v>20</v>
      </c>
      <c r="R9" s="31">
        <v>45771</v>
      </c>
      <c r="S9" s="14" t="s">
        <v>276</v>
      </c>
    </row>
    <row r="10" spans="1:30" x14ac:dyDescent="0.2">
      <c r="A10" s="33">
        <v>45770</v>
      </c>
      <c r="B10" s="14" t="s">
        <v>297</v>
      </c>
      <c r="C10" s="14"/>
      <c r="D10" s="14" t="s">
        <v>31</v>
      </c>
      <c r="E10" s="14" t="s">
        <v>298</v>
      </c>
      <c r="F10" s="7">
        <v>90000</v>
      </c>
      <c r="G10" s="6"/>
      <c r="H10" s="1"/>
      <c r="I10" s="19"/>
      <c r="J10" s="6">
        <v>17100</v>
      </c>
      <c r="K10" s="6"/>
      <c r="L10" s="14" t="s">
        <v>26</v>
      </c>
      <c r="M10" s="6">
        <f t="shared" si="0"/>
        <v>90000</v>
      </c>
      <c r="N10" s="14" t="s">
        <v>21</v>
      </c>
      <c r="O10" s="6">
        <f t="shared" si="1"/>
        <v>45000</v>
      </c>
      <c r="P10" s="6">
        <f t="shared" si="2"/>
        <v>62100</v>
      </c>
      <c r="Q10" s="14" t="s">
        <v>20</v>
      </c>
      <c r="R10" s="31">
        <v>45771</v>
      </c>
      <c r="S10" s="14" t="s">
        <v>276</v>
      </c>
    </row>
    <row r="11" spans="1:30" ht="27.75" x14ac:dyDescent="0.2">
      <c r="A11" s="33">
        <v>45770</v>
      </c>
      <c r="B11" s="14" t="s">
        <v>299</v>
      </c>
      <c r="C11" s="14"/>
      <c r="D11" s="14" t="s">
        <v>300</v>
      </c>
      <c r="E11" s="14" t="s">
        <v>301</v>
      </c>
      <c r="G11" s="6">
        <v>1777136</v>
      </c>
      <c r="H11" s="1"/>
      <c r="I11" s="19"/>
      <c r="J11" s="6">
        <v>353300</v>
      </c>
      <c r="K11" s="6"/>
      <c r="L11" s="14" t="s">
        <v>19</v>
      </c>
      <c r="M11" s="6">
        <f t="shared" si="0"/>
        <v>1777136</v>
      </c>
      <c r="N11" s="14" t="s">
        <v>29</v>
      </c>
      <c r="O11" s="6">
        <f t="shared" si="1"/>
        <v>444284</v>
      </c>
      <c r="P11" s="6">
        <f t="shared" si="2"/>
        <v>1241868</v>
      </c>
      <c r="Q11" s="14" t="s">
        <v>20</v>
      </c>
      <c r="R11" s="31">
        <v>45840</v>
      </c>
      <c r="S11" s="14" t="s">
        <v>302</v>
      </c>
    </row>
    <row r="12" spans="1:30" ht="41.25" x14ac:dyDescent="0.2">
      <c r="A12" s="33">
        <v>45771</v>
      </c>
      <c r="B12" s="14" t="s">
        <v>303</v>
      </c>
      <c r="C12" s="14" t="s">
        <v>304</v>
      </c>
      <c r="D12" s="14" t="s">
        <v>305</v>
      </c>
      <c r="E12" s="14" t="s">
        <v>306</v>
      </c>
      <c r="G12" s="6"/>
      <c r="H12" s="1"/>
      <c r="I12" s="19"/>
      <c r="J12" s="6"/>
      <c r="K12" s="6"/>
      <c r="L12" s="14"/>
      <c r="M12" s="6">
        <f t="shared" si="0"/>
        <v>0</v>
      </c>
      <c r="N12" s="14"/>
      <c r="O12" s="6" t="str">
        <f t="shared" si="1"/>
        <v/>
      </c>
      <c r="P12" s="6">
        <f t="shared" si="2"/>
        <v>0</v>
      </c>
      <c r="Q12" s="14" t="s">
        <v>39</v>
      </c>
      <c r="R12" s="31"/>
      <c r="S12" s="14"/>
    </row>
    <row r="13" spans="1:30" ht="94.5" x14ac:dyDescent="0.2">
      <c r="A13" s="33">
        <v>45771</v>
      </c>
      <c r="B13" s="14" t="s">
        <v>307</v>
      </c>
      <c r="C13" s="14" t="s">
        <v>308</v>
      </c>
      <c r="D13" s="14"/>
      <c r="E13" s="14" t="s">
        <v>309</v>
      </c>
      <c r="F13" s="7">
        <v>90000</v>
      </c>
      <c r="G13" s="6"/>
      <c r="H13" s="1"/>
      <c r="I13" s="19"/>
      <c r="J13" s="6">
        <v>17100</v>
      </c>
      <c r="K13" s="6"/>
      <c r="L13" s="14" t="s">
        <v>26</v>
      </c>
      <c r="M13" s="6">
        <f t="shared" si="0"/>
        <v>90000</v>
      </c>
      <c r="N13" s="14" t="s">
        <v>21</v>
      </c>
      <c r="O13" s="6">
        <f t="shared" si="1"/>
        <v>45000</v>
      </c>
      <c r="P13" s="6">
        <f t="shared" si="2"/>
        <v>62100</v>
      </c>
      <c r="Q13" s="14" t="s">
        <v>20</v>
      </c>
      <c r="R13" s="31">
        <v>45785</v>
      </c>
      <c r="S13" s="14" t="s">
        <v>310</v>
      </c>
    </row>
    <row r="14" spans="1:30" ht="94.5" x14ac:dyDescent="0.2">
      <c r="A14" s="33">
        <v>45772</v>
      </c>
      <c r="B14" s="14" t="s">
        <v>311</v>
      </c>
      <c r="C14" s="14"/>
      <c r="D14" s="14">
        <v>301</v>
      </c>
      <c r="E14" s="14" t="s">
        <v>312</v>
      </c>
      <c r="G14" s="6">
        <v>260000</v>
      </c>
      <c r="H14" s="1"/>
      <c r="I14" s="19"/>
      <c r="J14" s="6"/>
      <c r="K14" s="6"/>
      <c r="L14" s="14" t="s">
        <v>26</v>
      </c>
      <c r="M14" s="6">
        <f t="shared" si="0"/>
        <v>260000</v>
      </c>
      <c r="N14" s="14" t="s">
        <v>21</v>
      </c>
      <c r="O14" s="6">
        <f t="shared" si="1"/>
        <v>130000</v>
      </c>
      <c r="P14" s="6">
        <f t="shared" si="2"/>
        <v>130000</v>
      </c>
      <c r="Q14" s="14" t="s">
        <v>20</v>
      </c>
      <c r="R14" s="31">
        <v>45785</v>
      </c>
      <c r="S14" s="14" t="s">
        <v>310</v>
      </c>
    </row>
    <row r="15" spans="1:30" ht="94.5" x14ac:dyDescent="0.2">
      <c r="A15" s="33">
        <v>45775</v>
      </c>
      <c r="B15" s="14" t="s">
        <v>313</v>
      </c>
      <c r="C15" s="14" t="s">
        <v>314</v>
      </c>
      <c r="D15" s="14" t="s">
        <v>111</v>
      </c>
      <c r="E15" s="14" t="s">
        <v>315</v>
      </c>
      <c r="G15" s="6">
        <v>480000</v>
      </c>
      <c r="H15" s="1" t="s">
        <v>316</v>
      </c>
      <c r="I15" s="19">
        <v>50000</v>
      </c>
      <c r="J15" s="6">
        <v>91200</v>
      </c>
      <c r="K15" s="6"/>
      <c r="L15" s="14" t="s">
        <v>19</v>
      </c>
      <c r="M15" s="6">
        <f t="shared" si="0"/>
        <v>430000</v>
      </c>
      <c r="N15" s="14" t="s">
        <v>21</v>
      </c>
      <c r="O15" s="6">
        <f t="shared" si="1"/>
        <v>215000</v>
      </c>
      <c r="P15" s="6">
        <f t="shared" si="2"/>
        <v>306200</v>
      </c>
      <c r="Q15" s="14" t="s">
        <v>20</v>
      </c>
      <c r="R15" s="31">
        <v>45785</v>
      </c>
      <c r="S15" s="14" t="s">
        <v>310</v>
      </c>
    </row>
    <row r="16" spans="1:30" ht="54.75" x14ac:dyDescent="0.2">
      <c r="A16" s="33">
        <v>45775</v>
      </c>
      <c r="B16" s="14" t="s">
        <v>317</v>
      </c>
      <c r="C16" s="14"/>
      <c r="D16" s="14">
        <v>701</v>
      </c>
      <c r="E16" s="14" t="s">
        <v>318</v>
      </c>
      <c r="G16" s="6">
        <v>300000</v>
      </c>
      <c r="H16" s="1"/>
      <c r="I16" s="19"/>
      <c r="J16" s="6"/>
      <c r="K16" s="6">
        <v>19000</v>
      </c>
      <c r="L16" s="14" t="s">
        <v>26</v>
      </c>
      <c r="M16" s="6">
        <f t="shared" si="0"/>
        <v>281000</v>
      </c>
      <c r="N16" s="14" t="s">
        <v>21</v>
      </c>
      <c r="O16" s="6">
        <f t="shared" si="1"/>
        <v>140500</v>
      </c>
      <c r="P16" s="6">
        <f t="shared" si="2"/>
        <v>140500</v>
      </c>
      <c r="Q16" s="14" t="s">
        <v>20</v>
      </c>
      <c r="R16" s="31">
        <v>45779</v>
      </c>
      <c r="S16" s="14" t="s">
        <v>319</v>
      </c>
    </row>
    <row r="17" spans="1:19" ht="41.25" x14ac:dyDescent="0.2">
      <c r="A17" s="33">
        <v>45777</v>
      </c>
      <c r="B17" s="14" t="s">
        <v>232</v>
      </c>
      <c r="C17" s="14" t="s">
        <v>320</v>
      </c>
      <c r="D17" s="14" t="s">
        <v>107</v>
      </c>
      <c r="E17" s="14" t="s">
        <v>321</v>
      </c>
      <c r="G17" s="6">
        <v>460800</v>
      </c>
      <c r="H17" s="1" t="s">
        <v>322</v>
      </c>
      <c r="I17" s="19">
        <v>112000</v>
      </c>
      <c r="J17" s="6">
        <v>91200</v>
      </c>
      <c r="K17" s="6"/>
      <c r="L17" s="14" t="s">
        <v>19</v>
      </c>
      <c r="M17" s="6">
        <f t="shared" si="0"/>
        <v>348800</v>
      </c>
      <c r="N17" s="14" t="s">
        <v>21</v>
      </c>
      <c r="O17" s="6">
        <f t="shared" si="1"/>
        <v>174400</v>
      </c>
      <c r="P17" s="6">
        <f t="shared" si="2"/>
        <v>265600</v>
      </c>
      <c r="Q17" s="14" t="s">
        <v>20</v>
      </c>
      <c r="R17" s="31">
        <v>45779</v>
      </c>
      <c r="S17" s="14" t="s">
        <v>323</v>
      </c>
    </row>
    <row r="18" spans="1:19" x14ac:dyDescent="0.2">
      <c r="A18" s="33"/>
      <c r="B18" s="14"/>
      <c r="C18" s="14"/>
      <c r="D18" s="14"/>
      <c r="E18" s="14"/>
      <c r="G18" s="6"/>
      <c r="H18" s="1"/>
      <c r="I18" s="19"/>
      <c r="J18" s="6"/>
      <c r="K18" s="6"/>
      <c r="L18" s="14"/>
      <c r="M18" s="6">
        <f t="shared" si="0"/>
        <v>0</v>
      </c>
      <c r="N18" s="14"/>
      <c r="O18" s="6" t="str">
        <f t="shared" si="1"/>
        <v/>
      </c>
      <c r="P18" s="6">
        <f t="shared" si="2"/>
        <v>0</v>
      </c>
      <c r="Q18" s="14"/>
      <c r="R18" s="31"/>
      <c r="S18" s="14"/>
    </row>
    <row r="19" spans="1:19" x14ac:dyDescent="0.2">
      <c r="A19" s="33"/>
      <c r="B19" s="14"/>
      <c r="C19" s="30"/>
      <c r="D19" s="14"/>
      <c r="E19" s="14"/>
      <c r="G19" s="6"/>
      <c r="H19" s="1"/>
      <c r="I19" s="19"/>
      <c r="J19" s="6"/>
      <c r="K19" s="6"/>
      <c r="L19" s="14"/>
      <c r="M19" s="6">
        <f t="shared" si="0"/>
        <v>0</v>
      </c>
      <c r="N19" s="14"/>
      <c r="O19" s="6" t="str">
        <f t="shared" si="1"/>
        <v/>
      </c>
      <c r="P19" s="6">
        <f t="shared" si="2"/>
        <v>0</v>
      </c>
      <c r="Q19" s="14"/>
      <c r="R19" s="31"/>
      <c r="S19" s="14"/>
    </row>
    <row r="20" spans="1:19" x14ac:dyDescent="0.2">
      <c r="A20" s="33"/>
      <c r="B20" s="14"/>
      <c r="C20" s="14"/>
      <c r="D20" s="14"/>
      <c r="E20" s="14"/>
      <c r="G20" s="6"/>
      <c r="H20" s="1"/>
      <c r="I20" s="19"/>
      <c r="J20" s="6"/>
      <c r="K20" s="6"/>
      <c r="L20" s="14"/>
      <c r="M20" s="6">
        <f t="shared" si="0"/>
        <v>0</v>
      </c>
      <c r="N20" s="14"/>
      <c r="O20" s="6" t="str">
        <f t="shared" si="1"/>
        <v/>
      </c>
      <c r="P20" s="6">
        <f t="shared" si="2"/>
        <v>0</v>
      </c>
      <c r="Q20" s="14"/>
      <c r="R20" s="31"/>
      <c r="S20" s="14"/>
    </row>
    <row r="21" spans="1:19" x14ac:dyDescent="0.2">
      <c r="A21" s="33"/>
      <c r="B21" s="14"/>
      <c r="C21" s="14"/>
      <c r="D21" s="14"/>
      <c r="E21" s="14"/>
      <c r="G21" s="6"/>
      <c r="H21" s="1"/>
      <c r="I21" s="19"/>
      <c r="J21" s="6"/>
      <c r="K21" s="6"/>
      <c r="L21" s="14"/>
      <c r="M21" s="6">
        <f t="shared" si="0"/>
        <v>0</v>
      </c>
      <c r="N21" s="14"/>
      <c r="O21" s="6" t="str">
        <f t="shared" si="1"/>
        <v/>
      </c>
      <c r="P21" s="6">
        <f t="shared" si="2"/>
        <v>0</v>
      </c>
      <c r="Q21" s="14"/>
      <c r="R21" s="31"/>
      <c r="S21" s="14"/>
    </row>
    <row r="22" spans="1:19" x14ac:dyDescent="0.2">
      <c r="A22" s="33"/>
      <c r="B22" s="14"/>
      <c r="C22" s="14"/>
      <c r="D22" s="14"/>
      <c r="E22" s="14"/>
      <c r="G22" s="6"/>
      <c r="H22" s="1"/>
      <c r="I22" s="19"/>
      <c r="J22" s="6"/>
      <c r="K22" s="6"/>
      <c r="L22" s="14"/>
      <c r="M22" s="6">
        <f t="shared" si="0"/>
        <v>0</v>
      </c>
      <c r="N22" s="14"/>
      <c r="O22" s="6" t="str">
        <f t="shared" si="1"/>
        <v/>
      </c>
      <c r="P22" s="6">
        <f t="shared" si="2"/>
        <v>0</v>
      </c>
      <c r="Q22" s="14"/>
      <c r="R22" s="31"/>
      <c r="S22" s="14"/>
    </row>
    <row r="23" spans="1:19" x14ac:dyDescent="0.2">
      <c r="A23" s="33"/>
      <c r="B23" s="14"/>
      <c r="C23" s="14"/>
      <c r="D23" s="14"/>
      <c r="E23" s="14"/>
      <c r="G23" s="6"/>
      <c r="H23" s="1"/>
      <c r="I23" s="19"/>
      <c r="J23" s="6"/>
      <c r="K23" s="6"/>
      <c r="L23" s="14"/>
      <c r="M23" s="6">
        <f t="shared" si="0"/>
        <v>0</v>
      </c>
      <c r="N23" s="14"/>
      <c r="O23" s="6" t="str">
        <f t="shared" si="1"/>
        <v/>
      </c>
      <c r="P23" s="6">
        <f t="shared" si="2"/>
        <v>0</v>
      </c>
      <c r="Q23" s="14"/>
      <c r="R23" s="31"/>
      <c r="S23" s="14"/>
    </row>
    <row r="24" spans="1:19" x14ac:dyDescent="0.2">
      <c r="A24" s="33"/>
      <c r="B24" s="14"/>
      <c r="C24" s="14"/>
      <c r="D24" s="14"/>
      <c r="E24" s="14"/>
      <c r="G24" s="6"/>
      <c r="H24" s="1"/>
      <c r="I24" s="19"/>
      <c r="J24" s="6"/>
      <c r="K24" s="6"/>
      <c r="L24" s="14"/>
      <c r="M24" s="6">
        <f t="shared" si="0"/>
        <v>0</v>
      </c>
      <c r="N24" s="14"/>
      <c r="O24" s="6" t="str">
        <f t="shared" si="1"/>
        <v/>
      </c>
      <c r="P24" s="6">
        <f t="shared" si="2"/>
        <v>0</v>
      </c>
      <c r="Q24" s="14"/>
      <c r="R24" s="31"/>
      <c r="S24" s="14"/>
    </row>
    <row r="25" spans="1:19" x14ac:dyDescent="0.2">
      <c r="A25" s="33"/>
      <c r="B25" s="14"/>
      <c r="C25" s="14"/>
      <c r="D25" s="14"/>
      <c r="E25" s="14"/>
      <c r="G25" s="6"/>
      <c r="H25" s="1"/>
      <c r="I25" s="19"/>
      <c r="J25" s="6"/>
      <c r="K25" s="6"/>
      <c r="L25" s="14"/>
      <c r="M25" s="6">
        <f t="shared" si="0"/>
        <v>0</v>
      </c>
      <c r="N25" s="14"/>
      <c r="O25" s="6" t="str">
        <f t="shared" si="1"/>
        <v/>
      </c>
      <c r="P25" s="6">
        <f t="shared" si="2"/>
        <v>0</v>
      </c>
      <c r="Q25" s="14"/>
      <c r="R25" s="31"/>
      <c r="S25" s="14"/>
    </row>
    <row r="26" spans="1:19" x14ac:dyDescent="0.2">
      <c r="A26" s="33"/>
      <c r="B26" s="14"/>
      <c r="C26" s="14"/>
      <c r="D26" s="14"/>
      <c r="E26" s="14"/>
      <c r="G26" s="6"/>
      <c r="H26" s="1"/>
      <c r="I26" s="19"/>
      <c r="J26" s="6"/>
      <c r="K26" s="6"/>
      <c r="L26" s="14"/>
      <c r="M26" s="6">
        <f t="shared" si="0"/>
        <v>0</v>
      </c>
      <c r="N26" s="14"/>
      <c r="O26" s="6" t="str">
        <f t="shared" si="1"/>
        <v/>
      </c>
      <c r="P26" s="6">
        <f t="shared" si="2"/>
        <v>0</v>
      </c>
      <c r="Q26" s="14"/>
      <c r="R26" s="31"/>
      <c r="S26" s="14"/>
    </row>
    <row r="27" spans="1:19" x14ac:dyDescent="0.2">
      <c r="A27" s="33"/>
      <c r="B27" s="14"/>
      <c r="C27" s="14"/>
      <c r="D27" s="14"/>
      <c r="E27" s="14"/>
      <c r="G27" s="6"/>
      <c r="H27" s="1"/>
      <c r="I27" s="19"/>
      <c r="J27" s="6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31"/>
      <c r="S27" s="14"/>
    </row>
    <row r="28" spans="1:19" x14ac:dyDescent="0.2">
      <c r="A28" s="33"/>
      <c r="B28" s="14"/>
      <c r="C28" s="14"/>
      <c r="D28" s="14"/>
      <c r="E28" s="14"/>
      <c r="G28" s="6"/>
      <c r="H28" s="1"/>
      <c r="I28" s="19"/>
      <c r="J28" s="6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 t="shared" si="2"/>
        <v>0</v>
      </c>
      <c r="Q28" s="14"/>
      <c r="R28" s="31"/>
      <c r="S28" s="14"/>
    </row>
    <row r="29" spans="1:19" x14ac:dyDescent="0.2">
      <c r="A29" s="33"/>
      <c r="B29" s="14"/>
      <c r="C29" s="14"/>
      <c r="D29" s="14"/>
      <c r="E29" s="14"/>
      <c r="G29" s="6"/>
      <c r="H29" s="1"/>
      <c r="I29" s="19"/>
      <c r="J29" s="6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31"/>
      <c r="S29" s="14"/>
    </row>
    <row r="30" spans="1:19" x14ac:dyDescent="0.2">
      <c r="A30" s="33"/>
      <c r="B30" s="14"/>
      <c r="C30" s="14"/>
      <c r="D30" s="14"/>
      <c r="E30" s="14"/>
      <c r="G30" s="6"/>
      <c r="H30" s="1"/>
      <c r="I30" s="19"/>
      <c r="J30" s="6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31"/>
      <c r="S30" s="14"/>
    </row>
    <row r="31" spans="1:19" x14ac:dyDescent="0.2">
      <c r="A31" s="33"/>
      <c r="B31" s="14"/>
      <c r="C31" s="14"/>
      <c r="D31" s="14"/>
      <c r="E31" s="14"/>
      <c r="G31" s="6"/>
      <c r="H31" s="1"/>
      <c r="I31" s="19"/>
      <c r="J31" s="6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31"/>
      <c r="S31" s="14"/>
    </row>
    <row r="32" spans="1:19" x14ac:dyDescent="0.2">
      <c r="A32" s="33"/>
      <c r="B32" s="14"/>
      <c r="C32" s="14"/>
      <c r="D32" s="14"/>
      <c r="E32" s="14"/>
      <c r="G32" s="6"/>
      <c r="H32" s="1"/>
      <c r="I32" s="19"/>
      <c r="J32" s="6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31"/>
      <c r="S32" s="14"/>
    </row>
    <row r="33" spans="1:19" x14ac:dyDescent="0.2">
      <c r="A33" s="33"/>
      <c r="B33" s="14"/>
      <c r="C33" s="14"/>
      <c r="D33" s="14"/>
      <c r="E33" s="14"/>
      <c r="G33" s="6"/>
      <c r="H33" s="1"/>
      <c r="I33" s="19"/>
      <c r="J33" s="6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31"/>
      <c r="S33" s="14"/>
    </row>
    <row r="34" spans="1:19" x14ac:dyDescent="0.2">
      <c r="A34" s="33"/>
      <c r="B34" s="14"/>
      <c r="C34" s="14"/>
      <c r="D34" s="14"/>
      <c r="E34" s="14"/>
      <c r="G34" s="6"/>
      <c r="H34" s="1"/>
      <c r="I34" s="19"/>
      <c r="J34" s="6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31"/>
      <c r="S34" s="14"/>
    </row>
    <row r="35" spans="1:19" x14ac:dyDescent="0.2">
      <c r="A35" s="33"/>
      <c r="B35" s="14"/>
      <c r="C35" s="14"/>
      <c r="D35" s="14"/>
      <c r="E35" s="14"/>
      <c r="G35" s="6"/>
      <c r="H35" s="1"/>
      <c r="I35" s="19"/>
      <c r="J35" s="6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31"/>
      <c r="S35" s="14"/>
    </row>
    <row r="36" spans="1:19" x14ac:dyDescent="0.2">
      <c r="A36" s="33"/>
      <c r="B36" s="14"/>
      <c r="C36" s="14"/>
      <c r="D36" s="14"/>
      <c r="E36" s="14"/>
      <c r="G36" s="6"/>
      <c r="H36" s="1"/>
      <c r="I36" s="19"/>
      <c r="J36" s="6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31"/>
      <c r="S36" s="14"/>
    </row>
    <row r="37" spans="1:19" x14ac:dyDescent="0.2">
      <c r="A37" s="33"/>
      <c r="B37" s="14"/>
      <c r="C37" s="14"/>
      <c r="D37" s="14"/>
      <c r="E37" s="14"/>
      <c r="G37" s="6"/>
      <c r="H37" s="1"/>
      <c r="I37" s="19"/>
      <c r="J37" s="6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31"/>
      <c r="S37" s="14"/>
    </row>
    <row r="38" spans="1:19" x14ac:dyDescent="0.2">
      <c r="A38" s="33"/>
      <c r="B38" s="14"/>
      <c r="C38" s="14"/>
      <c r="D38" s="14"/>
      <c r="E38" s="14"/>
      <c r="G38" s="6"/>
      <c r="H38" s="1"/>
      <c r="I38" s="19"/>
      <c r="J38" s="6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31"/>
      <c r="S38" s="14"/>
    </row>
    <row r="39" spans="1:19" x14ac:dyDescent="0.2">
      <c r="A39" s="33"/>
      <c r="B39" s="14"/>
      <c r="C39" s="14"/>
      <c r="D39" s="14"/>
      <c r="E39" s="14"/>
      <c r="G39" s="6"/>
      <c r="H39" s="1"/>
      <c r="I39" s="19"/>
      <c r="J39" s="6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31"/>
      <c r="S39" s="14"/>
    </row>
    <row r="40" spans="1:19" x14ac:dyDescent="0.2">
      <c r="A40" s="33"/>
      <c r="B40" s="14"/>
      <c r="C40" s="14"/>
      <c r="D40" s="14"/>
      <c r="E40" s="14"/>
      <c r="G40" s="6"/>
      <c r="H40" s="1"/>
      <c r="I40" s="19"/>
      <c r="J40" s="6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31"/>
      <c r="S40" s="14"/>
    </row>
    <row r="41" spans="1:19" x14ac:dyDescent="0.2">
      <c r="A41" s="34" t="s">
        <v>119</v>
      </c>
      <c r="F41" s="13"/>
      <c r="S41" s="15">
        <f>SUBTOTAL(103,Tabla145[[NOTAS ]])</f>
        <v>15</v>
      </c>
    </row>
  </sheetData>
  <conditionalFormatting sqref="A2:S12 A13:R15 A16:S41">
    <cfRule type="expression" dxfId="105" priority="19" stopIfTrue="1">
      <formula>$Q2="YA RELACIONADO"</formula>
    </cfRule>
    <cfRule type="expression" dxfId="104" priority="20" stopIfTrue="1">
      <formula>$Q2="COTIZACIÓN"</formula>
    </cfRule>
    <cfRule type="expression" dxfId="103" priority="21" stopIfTrue="1">
      <formula>$Q2="NO PAGARON DOMICILIO"</formula>
    </cfRule>
    <cfRule type="expression" dxfId="102" priority="22" stopIfTrue="1">
      <formula>$Q2="NO SE COBRA DOMICILIO"</formula>
    </cfRule>
    <cfRule type="expression" dxfId="101" priority="23" stopIfTrue="1">
      <formula>$Q2="GARANTIA"</formula>
    </cfRule>
    <cfRule type="expression" dxfId="100" priority="24" stopIfTrue="1">
      <formula>$Q2="CANCELADO"</formula>
    </cfRule>
  </conditionalFormatting>
  <conditionalFormatting sqref="S13:S15">
    <cfRule type="expression" dxfId="99" priority="1" stopIfTrue="1">
      <formula>$Q13="YA RELACIONADO"</formula>
    </cfRule>
    <cfRule type="expression" dxfId="98" priority="2" stopIfTrue="1">
      <formula>$Q13="COTIZACIÓN"</formula>
    </cfRule>
    <cfRule type="expression" dxfId="97" priority="3" stopIfTrue="1">
      <formula>$Q13="NO PAGARON DOMICILIO"</formula>
    </cfRule>
    <cfRule type="expression" dxfId="96" priority="4" stopIfTrue="1">
      <formula>$Q13="NO SE COBRA DOMICILIO"</formula>
    </cfRule>
    <cfRule type="expression" dxfId="95" priority="5" stopIfTrue="1">
      <formula>$Q13="GARANTIA"</formula>
    </cfRule>
    <cfRule type="expression" dxfId="94" priority="6" stopIfTrue="1">
      <formula>$Q13="CANCELADO"</formula>
    </cfRule>
  </conditionalFormatting>
  <dataValidations count="3">
    <dataValidation type="list" allowBlank="1" showInputMessage="1" showErrorMessage="1" sqref="Q2:Q40" xr:uid="{AFCBBABE-D2FD-4534-AB35-D02EA75D5501}">
      <formula1>$AC$1:$AC$7</formula1>
    </dataValidation>
    <dataValidation type="list" allowBlank="1" showInputMessage="1" showErrorMessage="1" sqref="L2:L40" xr:uid="{0D0CAA26-5371-401D-99CD-19B9708E52AA}">
      <formula1>$AB$1:$AB$2</formula1>
    </dataValidation>
    <dataValidation type="list" allowBlank="1" showInputMessage="1" showErrorMessage="1" sqref="N2:N40" xr:uid="{19B56287-AFE0-4011-966A-A2F11F98621D}">
      <formula1>$AD$1:$AD$2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F89E-3987-4BFB-8189-1E6166B306D4}">
  <sheetPr codeName="Hoja5">
    <tabColor rgb="FFC00000"/>
  </sheetPr>
  <dimension ref="A1:AD41"/>
  <sheetViews>
    <sheetView topLeftCell="K7" zoomScale="76" zoomScaleNormal="100" workbookViewId="0">
      <selection activeCell="S9" sqref="S9"/>
    </sheetView>
  </sheetViews>
  <sheetFormatPr defaultColWidth="10.76171875" defaultRowHeight="15" x14ac:dyDescent="0.2"/>
  <cols>
    <col min="1" max="1" width="28.25" style="33" customWidth="1"/>
    <col min="2" max="2" width="22.46484375" style="15" customWidth="1"/>
    <col min="3" max="3" width="21.5234375" style="15" customWidth="1"/>
    <col min="4" max="4" width="18.5625" customWidth="1"/>
    <col min="5" max="5" width="34.70703125" customWidth="1"/>
    <col min="6" max="6" width="17.08203125" style="35" customWidth="1"/>
    <col min="7" max="7" width="16.41015625" style="38" customWidth="1"/>
    <col min="8" max="8" width="39.546875" customWidth="1"/>
    <col min="9" max="9" width="19.234375" style="26" customWidth="1"/>
    <col min="10" max="10" width="11.56640625" style="10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12" customWidth="1"/>
    <col min="18" max="18" width="36.58984375" style="32" customWidth="1"/>
    <col min="19" max="19" width="47.62109375" style="15" customWidth="1"/>
    <col min="28" max="28" width="17.75390625" customWidth="1"/>
    <col min="29" max="29" width="26.36328125" customWidth="1"/>
  </cols>
  <sheetData>
    <row r="1" spans="1:30" x14ac:dyDescent="0.2">
      <c r="A1" s="33" t="s">
        <v>0</v>
      </c>
      <c r="B1" s="14" t="s">
        <v>1</v>
      </c>
      <c r="C1" s="14" t="s">
        <v>2</v>
      </c>
      <c r="D1" s="1" t="s">
        <v>3</v>
      </c>
      <c r="E1" s="1" t="s">
        <v>4</v>
      </c>
      <c r="F1" s="35" t="s">
        <v>5</v>
      </c>
      <c r="G1" s="6" t="s">
        <v>6</v>
      </c>
      <c r="H1" s="1" t="s">
        <v>7</v>
      </c>
      <c r="I1" s="24" t="s">
        <v>8</v>
      </c>
      <c r="J1" s="6" t="s">
        <v>9</v>
      </c>
      <c r="K1" s="6" t="s">
        <v>10</v>
      </c>
      <c r="L1" s="1" t="s">
        <v>271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31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ht="41.25" x14ac:dyDescent="0.2">
      <c r="A2" s="33">
        <v>45779</v>
      </c>
      <c r="B2" s="14" t="s">
        <v>324</v>
      </c>
      <c r="C2" s="14" t="s">
        <v>325</v>
      </c>
      <c r="D2" s="1" t="s">
        <v>326</v>
      </c>
      <c r="E2" s="14" t="s">
        <v>327</v>
      </c>
      <c r="F2" s="36"/>
      <c r="G2" s="6">
        <v>569000</v>
      </c>
      <c r="H2" s="14" t="s">
        <v>328</v>
      </c>
      <c r="I2" s="24">
        <v>49000</v>
      </c>
      <c r="J2" s="6"/>
      <c r="K2" s="6"/>
      <c r="L2" s="14" t="s">
        <v>19</v>
      </c>
      <c r="M2" s="6">
        <f t="shared" ref="M2:M40" si="0">(F2+G2-I2-K2)</f>
        <v>520000</v>
      </c>
      <c r="N2" s="14" t="s">
        <v>29</v>
      </c>
      <c r="O2" s="6">
        <f t="shared" ref="O2:O40" si="1">IF(N2="X25%",M2*0.25,IF(N2="X50%",M2/2,""))</f>
        <v>130000</v>
      </c>
      <c r="P2" s="6">
        <f t="shared" ref="P2:P40" si="2">(M2/2+J2)</f>
        <v>260000</v>
      </c>
      <c r="Q2" s="14" t="s">
        <v>20</v>
      </c>
      <c r="R2" s="31">
        <v>45799</v>
      </c>
      <c r="S2" s="14" t="s">
        <v>329</v>
      </c>
      <c r="AB2" s="1" t="s">
        <v>26</v>
      </c>
      <c r="AC2" s="14" t="s">
        <v>28</v>
      </c>
      <c r="AD2" s="14" t="s">
        <v>29</v>
      </c>
    </row>
    <row r="3" spans="1:30" ht="94.5" x14ac:dyDescent="0.2">
      <c r="A3" s="33">
        <v>45782</v>
      </c>
      <c r="B3" s="14" t="s">
        <v>330</v>
      </c>
      <c r="C3" s="14"/>
      <c r="D3" s="1"/>
      <c r="E3" s="14" t="s">
        <v>331</v>
      </c>
      <c r="F3" s="36"/>
      <c r="G3" s="6">
        <v>65000</v>
      </c>
      <c r="H3" s="14" t="s">
        <v>332</v>
      </c>
      <c r="I3" s="24">
        <v>1500</v>
      </c>
      <c r="J3" s="6"/>
      <c r="K3" s="6"/>
      <c r="L3" s="14" t="s">
        <v>26</v>
      </c>
      <c r="M3" s="6">
        <f t="shared" si="0"/>
        <v>63500</v>
      </c>
      <c r="N3" s="14" t="s">
        <v>21</v>
      </c>
      <c r="O3" s="6">
        <f t="shared" si="1"/>
        <v>31750</v>
      </c>
      <c r="P3" s="6">
        <f t="shared" si="2"/>
        <v>31750</v>
      </c>
      <c r="Q3" s="14" t="s">
        <v>20</v>
      </c>
      <c r="R3" s="31">
        <v>45785</v>
      </c>
      <c r="S3" s="14" t="s">
        <v>310</v>
      </c>
      <c r="AC3" s="14" t="s">
        <v>33</v>
      </c>
    </row>
    <row r="4" spans="1:30" ht="94.5" x14ac:dyDescent="0.2">
      <c r="A4" s="33">
        <v>45782</v>
      </c>
      <c r="B4" s="14" t="s">
        <v>333</v>
      </c>
      <c r="C4" s="14" t="s">
        <v>334</v>
      </c>
      <c r="D4" s="1" t="s">
        <v>335</v>
      </c>
      <c r="E4" s="14" t="s">
        <v>130</v>
      </c>
      <c r="F4" s="36">
        <v>60000</v>
      </c>
      <c r="G4" s="6"/>
      <c r="H4" s="14" t="s">
        <v>336</v>
      </c>
      <c r="I4" s="24"/>
      <c r="J4" s="6">
        <v>11400</v>
      </c>
      <c r="K4" s="6"/>
      <c r="L4" s="14" t="s">
        <v>26</v>
      </c>
      <c r="M4" s="6">
        <f t="shared" si="0"/>
        <v>60000</v>
      </c>
      <c r="N4" s="14" t="s">
        <v>21</v>
      </c>
      <c r="O4" s="6">
        <f t="shared" si="1"/>
        <v>30000</v>
      </c>
      <c r="P4" s="6">
        <f t="shared" si="2"/>
        <v>41400</v>
      </c>
      <c r="Q4" s="14" t="s">
        <v>20</v>
      </c>
      <c r="R4" s="31">
        <v>45785</v>
      </c>
      <c r="S4" s="14" t="s">
        <v>310</v>
      </c>
      <c r="AC4" s="14" t="s">
        <v>35</v>
      </c>
    </row>
    <row r="5" spans="1:30" ht="94.5" x14ac:dyDescent="0.2">
      <c r="A5" s="33">
        <v>45783</v>
      </c>
      <c r="B5" s="14" t="s">
        <v>337</v>
      </c>
      <c r="C5" s="14" t="s">
        <v>338</v>
      </c>
      <c r="D5" s="1" t="s">
        <v>31</v>
      </c>
      <c r="E5" s="14" t="s">
        <v>339</v>
      </c>
      <c r="F5" s="36">
        <v>120000</v>
      </c>
      <c r="G5" s="6"/>
      <c r="H5" s="14"/>
      <c r="I5" s="24"/>
      <c r="J5" s="6"/>
      <c r="K5" s="6"/>
      <c r="L5" s="14" t="s">
        <v>26</v>
      </c>
      <c r="M5" s="6">
        <f t="shared" si="0"/>
        <v>120000</v>
      </c>
      <c r="N5" s="14" t="s">
        <v>21</v>
      </c>
      <c r="O5" s="6">
        <f t="shared" si="1"/>
        <v>60000</v>
      </c>
      <c r="P5" s="6">
        <f t="shared" si="2"/>
        <v>60000</v>
      </c>
      <c r="Q5" s="14" t="s">
        <v>20</v>
      </c>
      <c r="R5" s="31">
        <v>45785</v>
      </c>
      <c r="S5" s="14" t="s">
        <v>310</v>
      </c>
      <c r="AC5" s="14" t="s">
        <v>39</v>
      </c>
    </row>
    <row r="6" spans="1:30" ht="27.75" x14ac:dyDescent="0.2">
      <c r="A6" s="33">
        <v>45785</v>
      </c>
      <c r="B6" s="14" t="s">
        <v>340</v>
      </c>
      <c r="C6" s="14" t="s">
        <v>341</v>
      </c>
      <c r="D6" s="1" t="s">
        <v>326</v>
      </c>
      <c r="E6" s="14" t="s">
        <v>342</v>
      </c>
      <c r="F6" s="36"/>
      <c r="G6" s="6">
        <v>160000</v>
      </c>
      <c r="H6" s="14"/>
      <c r="I6" s="24"/>
      <c r="J6" s="6"/>
      <c r="K6" s="6"/>
      <c r="L6" s="14" t="s">
        <v>26</v>
      </c>
      <c r="M6" s="6">
        <f t="shared" si="0"/>
        <v>160000</v>
      </c>
      <c r="N6" s="14" t="s">
        <v>21</v>
      </c>
      <c r="O6" s="6">
        <f t="shared" si="1"/>
        <v>80000</v>
      </c>
      <c r="P6" s="6">
        <f t="shared" si="2"/>
        <v>80000</v>
      </c>
      <c r="Q6" s="14" t="s">
        <v>20</v>
      </c>
      <c r="R6" s="31">
        <v>45785</v>
      </c>
      <c r="S6" s="14" t="s">
        <v>343</v>
      </c>
      <c r="AC6" s="14" t="s">
        <v>45</v>
      </c>
    </row>
    <row r="7" spans="1:30" ht="41.25" x14ac:dyDescent="0.2">
      <c r="A7" s="33">
        <v>45789</v>
      </c>
      <c r="B7" s="14" t="s">
        <v>344</v>
      </c>
      <c r="C7" s="14" t="s">
        <v>345</v>
      </c>
      <c r="D7" s="1" t="s">
        <v>326</v>
      </c>
      <c r="E7" s="14" t="s">
        <v>346</v>
      </c>
      <c r="F7" s="36"/>
      <c r="G7" s="6">
        <v>580000</v>
      </c>
      <c r="H7" s="14" t="s">
        <v>347</v>
      </c>
      <c r="I7" s="24">
        <v>117000</v>
      </c>
      <c r="J7" s="6">
        <v>110200</v>
      </c>
      <c r="K7" s="6"/>
      <c r="L7" s="14" t="s">
        <v>19</v>
      </c>
      <c r="M7" s="6">
        <f t="shared" si="0"/>
        <v>463000</v>
      </c>
      <c r="N7" s="14" t="s">
        <v>21</v>
      </c>
      <c r="O7" s="6">
        <f t="shared" si="1"/>
        <v>231500</v>
      </c>
      <c r="P7" s="6">
        <f t="shared" si="2"/>
        <v>341700</v>
      </c>
      <c r="Q7" s="14" t="s">
        <v>20</v>
      </c>
      <c r="R7" s="31">
        <v>45790</v>
      </c>
      <c r="S7" s="14" t="s">
        <v>348</v>
      </c>
      <c r="AC7" s="14" t="s">
        <v>50</v>
      </c>
    </row>
    <row r="8" spans="1:30" ht="41.25" x14ac:dyDescent="0.2">
      <c r="A8" s="33">
        <v>45790</v>
      </c>
      <c r="B8" s="14" t="s">
        <v>349</v>
      </c>
      <c r="C8" s="14" t="s">
        <v>350</v>
      </c>
      <c r="D8" s="1" t="s">
        <v>219</v>
      </c>
      <c r="E8" s="14" t="s">
        <v>351</v>
      </c>
      <c r="F8" s="36"/>
      <c r="G8" s="6">
        <v>522867</v>
      </c>
      <c r="H8" s="14" t="s">
        <v>553</v>
      </c>
      <c r="I8" s="24">
        <v>88000</v>
      </c>
      <c r="J8" s="6"/>
      <c r="K8" s="6"/>
      <c r="L8" s="14" t="s">
        <v>19</v>
      </c>
      <c r="M8" s="6">
        <f t="shared" si="0"/>
        <v>434867</v>
      </c>
      <c r="N8" s="14" t="s">
        <v>21</v>
      </c>
      <c r="O8" s="6">
        <f t="shared" si="1"/>
        <v>217433.5</v>
      </c>
      <c r="P8" s="6">
        <f t="shared" si="2"/>
        <v>217433.5</v>
      </c>
      <c r="Q8" s="14" t="s">
        <v>20</v>
      </c>
      <c r="R8" s="31">
        <v>45880</v>
      </c>
      <c r="S8" s="14" t="s">
        <v>554</v>
      </c>
    </row>
    <row r="9" spans="1:30" ht="27.75" x14ac:dyDescent="0.2">
      <c r="A9" s="33">
        <v>45791</v>
      </c>
      <c r="B9" s="14" t="s">
        <v>352</v>
      </c>
      <c r="C9" s="14" t="s">
        <v>353</v>
      </c>
      <c r="D9" s="1" t="s">
        <v>219</v>
      </c>
      <c r="E9" s="14" t="s">
        <v>354</v>
      </c>
      <c r="F9" s="36">
        <v>90000</v>
      </c>
      <c r="G9" s="6"/>
      <c r="H9" s="14"/>
      <c r="I9" s="24"/>
      <c r="J9" s="6"/>
      <c r="K9" s="6"/>
      <c r="L9" s="14" t="s">
        <v>19</v>
      </c>
      <c r="M9" s="6">
        <f t="shared" si="0"/>
        <v>90000</v>
      </c>
      <c r="N9" s="14" t="s">
        <v>21</v>
      </c>
      <c r="O9" s="6">
        <f t="shared" si="1"/>
        <v>45000</v>
      </c>
      <c r="P9" s="6">
        <f t="shared" si="2"/>
        <v>45000</v>
      </c>
      <c r="Q9" s="14" t="s">
        <v>35</v>
      </c>
      <c r="R9" s="31"/>
      <c r="S9" s="14" t="s">
        <v>719</v>
      </c>
    </row>
    <row r="10" spans="1:30" ht="54.75" x14ac:dyDescent="0.2">
      <c r="A10" s="33">
        <v>45791</v>
      </c>
      <c r="B10" s="14" t="s">
        <v>355</v>
      </c>
      <c r="C10" s="14" t="s">
        <v>356</v>
      </c>
      <c r="D10" s="1" t="s">
        <v>219</v>
      </c>
      <c r="E10" s="14" t="s">
        <v>357</v>
      </c>
      <c r="F10" s="36"/>
      <c r="G10" s="6">
        <v>1747200</v>
      </c>
      <c r="H10" s="14" t="s">
        <v>358</v>
      </c>
      <c r="I10" s="24">
        <v>795000</v>
      </c>
      <c r="J10" s="6"/>
      <c r="K10" s="6"/>
      <c r="L10" s="14" t="s">
        <v>19</v>
      </c>
      <c r="M10" s="6">
        <f t="shared" si="0"/>
        <v>952200</v>
      </c>
      <c r="N10" s="14" t="s">
        <v>29</v>
      </c>
      <c r="O10" s="6">
        <f t="shared" si="1"/>
        <v>238050</v>
      </c>
      <c r="P10" s="6">
        <f t="shared" si="2"/>
        <v>476100</v>
      </c>
      <c r="Q10" s="14" t="s">
        <v>20</v>
      </c>
      <c r="R10" s="31">
        <v>45803</v>
      </c>
      <c r="S10" s="14" t="s">
        <v>359</v>
      </c>
    </row>
    <row r="11" spans="1:30" ht="54.75" x14ac:dyDescent="0.2">
      <c r="A11" s="33">
        <v>45798</v>
      </c>
      <c r="B11" s="14" t="s">
        <v>360</v>
      </c>
      <c r="C11" s="14" t="s">
        <v>361</v>
      </c>
      <c r="D11" s="1" t="s">
        <v>326</v>
      </c>
      <c r="E11" s="14" t="s">
        <v>362</v>
      </c>
      <c r="F11" s="36"/>
      <c r="G11" s="6">
        <v>1350000</v>
      </c>
      <c r="H11" s="14" t="s">
        <v>363</v>
      </c>
      <c r="I11" s="24">
        <v>728000</v>
      </c>
      <c r="J11" s="6"/>
      <c r="K11" s="6"/>
      <c r="L11" s="14" t="s">
        <v>19</v>
      </c>
      <c r="M11" s="6">
        <f t="shared" si="0"/>
        <v>622000</v>
      </c>
      <c r="N11" s="14" t="s">
        <v>29</v>
      </c>
      <c r="O11" s="6">
        <f t="shared" si="1"/>
        <v>155500</v>
      </c>
      <c r="P11" s="6">
        <f t="shared" si="2"/>
        <v>311000</v>
      </c>
      <c r="Q11" s="14" t="s">
        <v>20</v>
      </c>
      <c r="R11" s="31">
        <v>45819</v>
      </c>
      <c r="S11" s="14" t="s">
        <v>364</v>
      </c>
    </row>
    <row r="12" spans="1:30" ht="27.75" x14ac:dyDescent="0.2">
      <c r="A12" s="33">
        <v>45799</v>
      </c>
      <c r="B12" s="14" t="s">
        <v>365</v>
      </c>
      <c r="C12" s="14" t="s">
        <v>366</v>
      </c>
      <c r="D12" s="1" t="s">
        <v>326</v>
      </c>
      <c r="E12" s="14" t="s">
        <v>367</v>
      </c>
      <c r="F12" s="36"/>
      <c r="G12" s="6">
        <v>360000</v>
      </c>
      <c r="H12" s="14"/>
      <c r="I12" s="24"/>
      <c r="J12" s="6"/>
      <c r="K12" s="6"/>
      <c r="L12" s="14" t="s">
        <v>19</v>
      </c>
      <c r="M12" s="6">
        <f t="shared" si="0"/>
        <v>360000</v>
      </c>
      <c r="N12" s="14" t="s">
        <v>21</v>
      </c>
      <c r="O12" s="6">
        <f t="shared" si="1"/>
        <v>180000</v>
      </c>
      <c r="P12" s="6">
        <f t="shared" si="2"/>
        <v>180000</v>
      </c>
      <c r="Q12" s="14" t="s">
        <v>20</v>
      </c>
      <c r="R12" s="31">
        <v>45799</v>
      </c>
      <c r="S12" s="14" t="s">
        <v>368</v>
      </c>
    </row>
    <row r="13" spans="1:30" ht="27.75" x14ac:dyDescent="0.2">
      <c r="A13" s="33">
        <v>45803</v>
      </c>
      <c r="B13" s="14" t="s">
        <v>369</v>
      </c>
      <c r="C13" s="14" t="s">
        <v>370</v>
      </c>
      <c r="D13" s="1" t="s">
        <v>31</v>
      </c>
      <c r="E13" s="14" t="s">
        <v>371</v>
      </c>
      <c r="F13" s="36">
        <v>90000</v>
      </c>
      <c r="G13" s="6"/>
      <c r="H13" s="14"/>
      <c r="I13" s="24"/>
      <c r="J13" s="6"/>
      <c r="K13" s="6"/>
      <c r="L13" s="14" t="s">
        <v>26</v>
      </c>
      <c r="M13" s="6">
        <f t="shared" si="0"/>
        <v>90000</v>
      </c>
      <c r="N13" s="14" t="s">
        <v>21</v>
      </c>
      <c r="O13" s="6">
        <f t="shared" si="1"/>
        <v>45000</v>
      </c>
      <c r="P13" s="6">
        <f t="shared" si="2"/>
        <v>45000</v>
      </c>
      <c r="Q13" s="14" t="s">
        <v>20</v>
      </c>
      <c r="R13" s="31">
        <v>45804</v>
      </c>
      <c r="S13" s="14" t="s">
        <v>372</v>
      </c>
    </row>
    <row r="14" spans="1:30" x14ac:dyDescent="0.2">
      <c r="A14" s="33">
        <v>45804</v>
      </c>
      <c r="B14" s="14" t="s">
        <v>360</v>
      </c>
      <c r="C14" s="14" t="s">
        <v>361</v>
      </c>
      <c r="D14" s="1" t="s">
        <v>326</v>
      </c>
      <c r="E14" s="14" t="s">
        <v>373</v>
      </c>
      <c r="F14" s="36"/>
      <c r="G14" s="6"/>
      <c r="H14" s="14"/>
      <c r="I14" s="24"/>
      <c r="J14" s="6"/>
      <c r="K14" s="6"/>
      <c r="L14" s="14"/>
      <c r="M14" s="6">
        <f t="shared" si="0"/>
        <v>0</v>
      </c>
      <c r="N14" s="14"/>
      <c r="O14" s="6" t="str">
        <f t="shared" si="1"/>
        <v/>
      </c>
      <c r="P14" s="6">
        <f t="shared" si="2"/>
        <v>0</v>
      </c>
      <c r="Q14" s="14" t="s">
        <v>45</v>
      </c>
      <c r="R14" s="31"/>
      <c r="S14" s="14"/>
    </row>
    <row r="15" spans="1:30" x14ac:dyDescent="0.2">
      <c r="A15" s="33">
        <v>45804</v>
      </c>
      <c r="B15" s="14" t="s">
        <v>374</v>
      </c>
      <c r="C15" s="14" t="s">
        <v>375</v>
      </c>
      <c r="D15" s="1" t="s">
        <v>31</v>
      </c>
      <c r="E15" s="14" t="s">
        <v>376</v>
      </c>
      <c r="F15" s="36">
        <v>80000</v>
      </c>
      <c r="G15" s="6"/>
      <c r="H15" s="14"/>
      <c r="I15" s="24"/>
      <c r="J15" s="6"/>
      <c r="K15" s="6"/>
      <c r="L15" s="14" t="s">
        <v>26</v>
      </c>
      <c r="M15" s="6">
        <f t="shared" si="0"/>
        <v>80000</v>
      </c>
      <c r="N15" s="14" t="s">
        <v>21</v>
      </c>
      <c r="O15" s="6">
        <f t="shared" si="1"/>
        <v>40000</v>
      </c>
      <c r="P15" s="6">
        <f t="shared" si="2"/>
        <v>40000</v>
      </c>
      <c r="Q15" s="14" t="s">
        <v>20</v>
      </c>
      <c r="R15" s="31">
        <v>45804</v>
      </c>
      <c r="S15" s="14" t="s">
        <v>372</v>
      </c>
    </row>
    <row r="16" spans="1:30" x14ac:dyDescent="0.2">
      <c r="A16" s="33">
        <v>45807</v>
      </c>
      <c r="B16" s="14" t="s">
        <v>377</v>
      </c>
      <c r="C16" s="14" t="s">
        <v>378</v>
      </c>
      <c r="D16" s="1" t="s">
        <v>379</v>
      </c>
      <c r="E16" s="14" t="s">
        <v>380</v>
      </c>
      <c r="F16" s="36"/>
      <c r="G16" s="6">
        <v>180000</v>
      </c>
      <c r="H16" s="14"/>
      <c r="I16" s="24"/>
      <c r="J16" s="6"/>
      <c r="K16" s="6"/>
      <c r="L16" s="14" t="s">
        <v>26</v>
      </c>
      <c r="M16" s="6">
        <f t="shared" si="0"/>
        <v>180000</v>
      </c>
      <c r="N16" s="14" t="s">
        <v>21</v>
      </c>
      <c r="O16" s="6">
        <f t="shared" si="1"/>
        <v>90000</v>
      </c>
      <c r="P16" s="6">
        <f t="shared" si="2"/>
        <v>90000</v>
      </c>
      <c r="Q16" s="14"/>
      <c r="R16" s="31"/>
      <c r="S16" s="14"/>
    </row>
    <row r="17" spans="2:19" x14ac:dyDescent="0.2">
      <c r="B17" s="14"/>
      <c r="C17" s="14"/>
      <c r="D17" s="1"/>
      <c r="E17" s="14"/>
      <c r="F17" s="36"/>
      <c r="G17" s="6"/>
      <c r="H17" s="14"/>
      <c r="I17" s="24"/>
      <c r="J17" s="6"/>
      <c r="K17" s="6"/>
      <c r="L17" s="14"/>
      <c r="M17" s="6">
        <f t="shared" si="0"/>
        <v>0</v>
      </c>
      <c r="N17" s="14"/>
      <c r="O17" s="6" t="str">
        <f t="shared" si="1"/>
        <v/>
      </c>
      <c r="P17" s="6">
        <f t="shared" si="2"/>
        <v>0</v>
      </c>
      <c r="Q17" s="14"/>
      <c r="R17" s="31"/>
      <c r="S17" s="14"/>
    </row>
    <row r="18" spans="2:19" x14ac:dyDescent="0.2">
      <c r="B18" s="14"/>
      <c r="C18" s="14"/>
      <c r="D18" s="1"/>
      <c r="E18" s="14"/>
      <c r="F18" s="36"/>
      <c r="G18" s="6"/>
      <c r="H18" s="14"/>
      <c r="I18" s="24"/>
      <c r="J18" s="6"/>
      <c r="K18" s="6"/>
      <c r="L18" s="14"/>
      <c r="M18" s="6">
        <f t="shared" si="0"/>
        <v>0</v>
      </c>
      <c r="N18" s="14"/>
      <c r="O18" s="6" t="str">
        <f t="shared" si="1"/>
        <v/>
      </c>
      <c r="P18" s="6">
        <f t="shared" si="2"/>
        <v>0</v>
      </c>
      <c r="Q18" s="14"/>
      <c r="R18" s="31"/>
      <c r="S18" s="14"/>
    </row>
    <row r="19" spans="2:19" x14ac:dyDescent="0.2">
      <c r="B19" s="14"/>
      <c r="C19" s="14"/>
      <c r="D19" s="1"/>
      <c r="E19" s="14"/>
      <c r="F19" s="36"/>
      <c r="G19" s="6"/>
      <c r="H19" s="14"/>
      <c r="I19" s="24"/>
      <c r="J19" s="6"/>
      <c r="K19" s="6"/>
      <c r="L19" s="14"/>
      <c r="M19" s="6">
        <f t="shared" si="0"/>
        <v>0</v>
      </c>
      <c r="N19" s="14"/>
      <c r="O19" s="6" t="str">
        <f t="shared" si="1"/>
        <v/>
      </c>
      <c r="P19" s="6">
        <f t="shared" si="2"/>
        <v>0</v>
      </c>
      <c r="Q19" s="14"/>
      <c r="R19" s="31"/>
      <c r="S19" s="14"/>
    </row>
    <row r="20" spans="2:19" x14ac:dyDescent="0.2">
      <c r="B20" s="14"/>
      <c r="C20" s="14"/>
      <c r="D20" s="1"/>
      <c r="E20" s="14"/>
      <c r="F20" s="36"/>
      <c r="G20" s="6"/>
      <c r="H20" s="14"/>
      <c r="I20" s="24"/>
      <c r="J20" s="6"/>
      <c r="K20" s="6"/>
      <c r="L20" s="14"/>
      <c r="M20" s="6">
        <f t="shared" si="0"/>
        <v>0</v>
      </c>
      <c r="N20" s="14"/>
      <c r="O20" s="6" t="str">
        <f t="shared" si="1"/>
        <v/>
      </c>
      <c r="P20" s="6">
        <f t="shared" si="2"/>
        <v>0</v>
      </c>
      <c r="Q20" s="14"/>
      <c r="R20" s="31"/>
      <c r="S20" s="14"/>
    </row>
    <row r="21" spans="2:19" x14ac:dyDescent="0.2">
      <c r="B21" s="14"/>
      <c r="C21" s="14"/>
      <c r="D21" s="1"/>
      <c r="E21" s="14"/>
      <c r="F21" s="36"/>
      <c r="G21" s="6"/>
      <c r="H21" s="14"/>
      <c r="I21" s="24"/>
      <c r="J21" s="6"/>
      <c r="K21" s="6"/>
      <c r="L21" s="14"/>
      <c r="M21" s="6">
        <f t="shared" si="0"/>
        <v>0</v>
      </c>
      <c r="N21" s="14"/>
      <c r="O21" s="6" t="str">
        <f t="shared" si="1"/>
        <v/>
      </c>
      <c r="P21" s="6">
        <f t="shared" si="2"/>
        <v>0</v>
      </c>
      <c r="Q21" s="14"/>
      <c r="R21" s="31"/>
      <c r="S21" s="14"/>
    </row>
    <row r="22" spans="2:19" x14ac:dyDescent="0.2">
      <c r="B22" s="14"/>
      <c r="C22" s="14"/>
      <c r="D22" s="1"/>
      <c r="E22" s="14"/>
      <c r="F22" s="36"/>
      <c r="G22" s="6"/>
      <c r="H22" s="14"/>
      <c r="I22" s="24"/>
      <c r="J22" s="6"/>
      <c r="K22" s="6"/>
      <c r="L22" s="14"/>
      <c r="M22" s="6">
        <f t="shared" si="0"/>
        <v>0</v>
      </c>
      <c r="N22" s="14"/>
      <c r="O22" s="6" t="str">
        <f t="shared" si="1"/>
        <v/>
      </c>
      <c r="P22" s="6">
        <f t="shared" si="2"/>
        <v>0</v>
      </c>
      <c r="Q22" s="14"/>
      <c r="R22" s="31"/>
      <c r="S22" s="14"/>
    </row>
    <row r="23" spans="2:19" x14ac:dyDescent="0.2">
      <c r="B23" s="14"/>
      <c r="C23" s="14"/>
      <c r="D23" s="1"/>
      <c r="E23" s="14"/>
      <c r="F23" s="36"/>
      <c r="G23" s="6"/>
      <c r="H23" s="14"/>
      <c r="I23" s="24"/>
      <c r="J23" s="6"/>
      <c r="K23" s="6"/>
      <c r="L23" s="14"/>
      <c r="M23" s="6">
        <f t="shared" si="0"/>
        <v>0</v>
      </c>
      <c r="N23" s="14"/>
      <c r="O23" s="6" t="str">
        <f t="shared" si="1"/>
        <v/>
      </c>
      <c r="P23" s="6">
        <f t="shared" si="2"/>
        <v>0</v>
      </c>
      <c r="Q23" s="14"/>
      <c r="R23" s="31"/>
      <c r="S23" s="14"/>
    </row>
    <row r="24" spans="2:19" x14ac:dyDescent="0.2">
      <c r="B24" s="14"/>
      <c r="C24" s="14"/>
      <c r="D24" s="1"/>
      <c r="E24" s="14"/>
      <c r="F24" s="36"/>
      <c r="G24" s="6"/>
      <c r="H24" s="14"/>
      <c r="I24" s="24"/>
      <c r="J24" s="6"/>
      <c r="K24" s="6"/>
      <c r="L24" s="14"/>
      <c r="M24" s="6">
        <f t="shared" si="0"/>
        <v>0</v>
      </c>
      <c r="N24" s="14"/>
      <c r="O24" s="6" t="str">
        <f t="shared" si="1"/>
        <v/>
      </c>
      <c r="P24" s="6">
        <f t="shared" si="2"/>
        <v>0</v>
      </c>
      <c r="Q24" s="14"/>
      <c r="R24" s="31"/>
      <c r="S24" s="14"/>
    </row>
    <row r="25" spans="2:19" x14ac:dyDescent="0.2">
      <c r="B25" s="14"/>
      <c r="C25" s="14"/>
      <c r="D25" s="1"/>
      <c r="E25" s="14"/>
      <c r="F25" s="36"/>
      <c r="G25" s="6"/>
      <c r="H25" s="14"/>
      <c r="I25" s="24"/>
      <c r="J25" s="6"/>
      <c r="K25" s="6"/>
      <c r="L25" s="14"/>
      <c r="M25" s="6">
        <f t="shared" si="0"/>
        <v>0</v>
      </c>
      <c r="N25" s="14"/>
      <c r="O25" s="6" t="str">
        <f t="shared" si="1"/>
        <v/>
      </c>
      <c r="P25" s="6">
        <f t="shared" si="2"/>
        <v>0</v>
      </c>
      <c r="Q25" s="14"/>
      <c r="R25" s="31"/>
      <c r="S25" s="14"/>
    </row>
    <row r="26" spans="2:19" x14ac:dyDescent="0.2">
      <c r="B26" s="14"/>
      <c r="C26" s="14"/>
      <c r="D26" s="1"/>
      <c r="E26" s="14"/>
      <c r="F26" s="36"/>
      <c r="G26" s="6"/>
      <c r="H26" s="14"/>
      <c r="I26" s="24"/>
      <c r="J26" s="6"/>
      <c r="K26" s="6"/>
      <c r="L26" s="14"/>
      <c r="M26" s="6">
        <f t="shared" si="0"/>
        <v>0</v>
      </c>
      <c r="N26" s="14"/>
      <c r="O26" s="6" t="str">
        <f t="shared" si="1"/>
        <v/>
      </c>
      <c r="P26" s="6">
        <f t="shared" si="2"/>
        <v>0</v>
      </c>
      <c r="Q26" s="14"/>
      <c r="R26" s="31"/>
      <c r="S26" s="14"/>
    </row>
    <row r="27" spans="2:19" x14ac:dyDescent="0.2">
      <c r="B27" s="14"/>
      <c r="C27" s="14"/>
      <c r="D27" s="1"/>
      <c r="E27" s="14"/>
      <c r="F27" s="36"/>
      <c r="G27" s="6"/>
      <c r="H27" s="14"/>
      <c r="I27" s="24"/>
      <c r="J27" s="6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31"/>
      <c r="S27" s="14"/>
    </row>
    <row r="28" spans="2:19" x14ac:dyDescent="0.2">
      <c r="B28" s="14"/>
      <c r="C28" s="14"/>
      <c r="D28" s="1"/>
      <c r="E28" s="14"/>
      <c r="F28" s="36"/>
      <c r="G28" s="6"/>
      <c r="H28" s="14"/>
      <c r="I28" s="24"/>
      <c r="J28" s="6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 t="shared" si="2"/>
        <v>0</v>
      </c>
      <c r="Q28" s="14"/>
      <c r="R28" s="31"/>
      <c r="S28" s="14"/>
    </row>
    <row r="29" spans="2:19" x14ac:dyDescent="0.2">
      <c r="B29" s="14"/>
      <c r="C29" s="14"/>
      <c r="D29" s="1"/>
      <c r="E29" s="14"/>
      <c r="F29" s="36"/>
      <c r="G29" s="6"/>
      <c r="H29" s="14"/>
      <c r="I29" s="24"/>
      <c r="J29" s="6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31"/>
      <c r="S29" s="14"/>
    </row>
    <row r="30" spans="2:19" x14ac:dyDescent="0.2">
      <c r="B30" s="14"/>
      <c r="C30" s="14"/>
      <c r="D30" s="1"/>
      <c r="E30" s="14"/>
      <c r="F30" s="36"/>
      <c r="G30" s="6"/>
      <c r="H30" s="14"/>
      <c r="I30" s="24"/>
      <c r="J30" s="6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31"/>
      <c r="S30" s="14"/>
    </row>
    <row r="31" spans="2:19" x14ac:dyDescent="0.2">
      <c r="B31" s="14"/>
      <c r="C31" s="14"/>
      <c r="D31" s="1"/>
      <c r="E31" s="14"/>
      <c r="F31" s="36"/>
      <c r="G31" s="6"/>
      <c r="H31" s="14"/>
      <c r="I31" s="24"/>
      <c r="J31" s="6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31"/>
      <c r="S31" s="14"/>
    </row>
    <row r="32" spans="2:19" x14ac:dyDescent="0.2">
      <c r="B32" s="14"/>
      <c r="C32" s="14"/>
      <c r="D32" s="1"/>
      <c r="E32" s="14"/>
      <c r="F32" s="36"/>
      <c r="G32" s="6"/>
      <c r="H32" s="14"/>
      <c r="I32" s="24"/>
      <c r="J32" s="6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31"/>
      <c r="S32" s="14"/>
    </row>
    <row r="33" spans="1:19" x14ac:dyDescent="0.2">
      <c r="B33" s="14"/>
      <c r="C33" s="14"/>
      <c r="D33" s="1"/>
      <c r="E33" s="14"/>
      <c r="F33" s="36"/>
      <c r="G33" s="6"/>
      <c r="H33" s="14"/>
      <c r="I33" s="24"/>
      <c r="J33" s="6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31"/>
      <c r="S33" s="14"/>
    </row>
    <row r="34" spans="1:19" x14ac:dyDescent="0.2">
      <c r="B34" s="14"/>
      <c r="C34" s="14"/>
      <c r="D34" s="1"/>
      <c r="E34" s="14"/>
      <c r="F34" s="36"/>
      <c r="G34" s="6"/>
      <c r="H34" s="14"/>
      <c r="I34" s="24"/>
      <c r="J34" s="6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31"/>
      <c r="S34" s="14"/>
    </row>
    <row r="35" spans="1:19" x14ac:dyDescent="0.2">
      <c r="B35" s="14"/>
      <c r="C35" s="14"/>
      <c r="D35" s="1"/>
      <c r="E35" s="14"/>
      <c r="F35" s="36"/>
      <c r="G35" s="6"/>
      <c r="H35" s="14"/>
      <c r="I35" s="24"/>
      <c r="J35" s="6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31"/>
      <c r="S35" s="14"/>
    </row>
    <row r="36" spans="1:19" x14ac:dyDescent="0.2">
      <c r="B36" s="14"/>
      <c r="C36" s="14"/>
      <c r="D36" s="1"/>
      <c r="E36" s="14"/>
      <c r="F36" s="36"/>
      <c r="G36" s="6"/>
      <c r="H36" s="14"/>
      <c r="I36" s="24"/>
      <c r="J36" s="6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31"/>
      <c r="S36" s="14"/>
    </row>
    <row r="37" spans="1:19" x14ac:dyDescent="0.2">
      <c r="B37" s="14"/>
      <c r="C37" s="14"/>
      <c r="D37" s="1"/>
      <c r="E37" s="14"/>
      <c r="F37" s="36"/>
      <c r="G37" s="6"/>
      <c r="H37" s="14"/>
      <c r="I37" s="24"/>
      <c r="J37" s="6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31"/>
      <c r="S37" s="14"/>
    </row>
    <row r="38" spans="1:19" x14ac:dyDescent="0.2">
      <c r="B38" s="14"/>
      <c r="C38" s="14"/>
      <c r="D38" s="1"/>
      <c r="E38" s="14"/>
      <c r="F38" s="36"/>
      <c r="G38" s="6"/>
      <c r="H38" s="14"/>
      <c r="I38" s="24"/>
      <c r="J38" s="6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31"/>
      <c r="S38" s="14"/>
    </row>
    <row r="39" spans="1:19" x14ac:dyDescent="0.2">
      <c r="B39" s="14"/>
      <c r="C39" s="14"/>
      <c r="D39" s="1"/>
      <c r="E39" s="14"/>
      <c r="F39" s="36"/>
      <c r="G39" s="6"/>
      <c r="H39" s="14"/>
      <c r="I39" s="24"/>
      <c r="J39" s="6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31"/>
      <c r="S39" s="14"/>
    </row>
    <row r="40" spans="1:19" x14ac:dyDescent="0.2">
      <c r="B40" s="14"/>
      <c r="C40" s="14"/>
      <c r="D40" s="1"/>
      <c r="E40" s="14"/>
      <c r="F40" s="36"/>
      <c r="G40" s="6"/>
      <c r="H40" s="14"/>
      <c r="I40" s="24"/>
      <c r="J40" s="6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31"/>
      <c r="S40" s="14"/>
    </row>
    <row r="41" spans="1:19" x14ac:dyDescent="0.2">
      <c r="A41" s="33" t="s">
        <v>119</v>
      </c>
      <c r="E41" s="15"/>
      <c r="F41" s="37"/>
      <c r="G41" s="6"/>
      <c r="S41" s="15">
        <f>SUBTOTAL(103,Tabla1456[[NOTAS ]])</f>
        <v>13</v>
      </c>
    </row>
  </sheetData>
  <conditionalFormatting sqref="A2">
    <cfRule type="expression" dxfId="93" priority="36" stopIfTrue="1">
      <formula>$Q2="CANCELADO"</formula>
    </cfRule>
    <cfRule type="expression" dxfId="92" priority="35" stopIfTrue="1">
      <formula>$Q2="GARANTIA"</formula>
    </cfRule>
    <cfRule type="expression" dxfId="91" priority="34" stopIfTrue="1">
      <formula>$Q2="NO SE COBRA DOMICILIO"</formula>
    </cfRule>
    <cfRule type="expression" dxfId="90" priority="33" stopIfTrue="1">
      <formula>$Q2="NO PAGARON DOMICILIO"</formula>
    </cfRule>
    <cfRule type="expression" dxfId="89" priority="32" stopIfTrue="1">
      <formula>$Q2="COTIZACIÓN"</formula>
    </cfRule>
    <cfRule type="expression" dxfId="88" priority="31" stopIfTrue="1">
      <formula>$Q2="YA RELACIONADO"</formula>
    </cfRule>
  </conditionalFormatting>
  <conditionalFormatting sqref="B2">
    <cfRule type="expression" dxfId="87" priority="19" stopIfTrue="1">
      <formula>$Q2="YA RELACIONADO"</formula>
    </cfRule>
    <cfRule type="expression" dxfId="86" priority="24" stopIfTrue="1">
      <formula>$Q2="CANCELADO"</formula>
    </cfRule>
    <cfRule type="expression" dxfId="85" priority="23" stopIfTrue="1">
      <formula>$Q2="GARANTIA"</formula>
    </cfRule>
    <cfRule type="expression" dxfId="84" priority="22" stopIfTrue="1">
      <formula>$Q2="NO SE COBRA DOMICILIO"</formula>
    </cfRule>
    <cfRule type="expression" dxfId="83" priority="21" stopIfTrue="1">
      <formula>$Q2="NO PAGARON DOMICILIO"</formula>
    </cfRule>
    <cfRule type="expression" dxfId="82" priority="20" stopIfTrue="1">
      <formula>$Q2="COTIZACIÓN"</formula>
    </cfRule>
  </conditionalFormatting>
  <conditionalFormatting sqref="C2">
    <cfRule type="expression" dxfId="81" priority="13" stopIfTrue="1">
      <formula>$Q2="YA RELACIONADO"</formula>
    </cfRule>
    <cfRule type="expression" dxfId="80" priority="14" stopIfTrue="1">
      <formula>$Q2="COTIZACIÓN"</formula>
    </cfRule>
    <cfRule type="expression" dxfId="79" priority="15" stopIfTrue="1">
      <formula>$Q2="NO PAGARON DOMICILIO"</formula>
    </cfRule>
    <cfRule type="expression" dxfId="78" priority="16" stopIfTrue="1">
      <formula>$Q2="NO SE COBRA DOMICILIO"</formula>
    </cfRule>
    <cfRule type="expression" dxfId="77" priority="17" stopIfTrue="1">
      <formula>$Q2="GARANTIA"</formula>
    </cfRule>
    <cfRule type="expression" dxfId="76" priority="18" stopIfTrue="1">
      <formula>$Q2="CANCELADO"</formula>
    </cfRule>
  </conditionalFormatting>
  <conditionalFormatting sqref="D2 F2:S2 A3:S4 A5:R5 A6:S41">
    <cfRule type="expression" dxfId="75" priority="42" stopIfTrue="1">
      <formula>$Q2="CANCELADO"</formula>
    </cfRule>
    <cfRule type="expression" dxfId="74" priority="37" stopIfTrue="1">
      <formula>$Q2="YA RELACIONADO"</formula>
    </cfRule>
    <cfRule type="expression" dxfId="73" priority="38" stopIfTrue="1">
      <formula>$Q2="COTIZACIÓN"</formula>
    </cfRule>
    <cfRule type="expression" dxfId="72" priority="39" stopIfTrue="1">
      <formula>$Q2="NO PAGARON DOMICILIO"</formula>
    </cfRule>
    <cfRule type="expression" dxfId="71" priority="40" stopIfTrue="1">
      <formula>$Q2="NO SE COBRA DOMICILIO"</formula>
    </cfRule>
    <cfRule type="expression" dxfId="70" priority="41" stopIfTrue="1">
      <formula>$Q2="GARANTIA"</formula>
    </cfRule>
  </conditionalFormatting>
  <conditionalFormatting sqref="E2">
    <cfRule type="expression" dxfId="69" priority="12" stopIfTrue="1">
      <formula>$Q2="CANCELADO"</formula>
    </cfRule>
    <cfRule type="expression" dxfId="68" priority="11" stopIfTrue="1">
      <formula>$Q2="GARANTIA"</formula>
    </cfRule>
    <cfRule type="expression" dxfId="67" priority="10" stopIfTrue="1">
      <formula>$Q2="NO SE COBRA DOMICILIO"</formula>
    </cfRule>
    <cfRule type="expression" dxfId="66" priority="9" stopIfTrue="1">
      <formula>$Q2="NO PAGARON DOMICILIO"</formula>
    </cfRule>
    <cfRule type="expression" dxfId="65" priority="8" stopIfTrue="1">
      <formula>$Q2="COTIZACIÓN"</formula>
    </cfRule>
    <cfRule type="expression" dxfId="64" priority="7" stopIfTrue="1">
      <formula>$Q2="YA RELACIONADO"</formula>
    </cfRule>
  </conditionalFormatting>
  <conditionalFormatting sqref="S5">
    <cfRule type="expression" dxfId="63" priority="6" stopIfTrue="1">
      <formula>$Q5="CANCELADO"</formula>
    </cfRule>
    <cfRule type="expression" dxfId="62" priority="5" stopIfTrue="1">
      <formula>$Q5="GARANTIA"</formula>
    </cfRule>
    <cfRule type="expression" dxfId="61" priority="4" stopIfTrue="1">
      <formula>$Q5="NO SE COBRA DOMICILIO"</formula>
    </cfRule>
    <cfRule type="expression" dxfId="60" priority="3" stopIfTrue="1">
      <formula>$Q5="NO PAGARON DOMICILIO"</formula>
    </cfRule>
    <cfRule type="expression" dxfId="59" priority="2" stopIfTrue="1">
      <formula>$Q5="COTIZACIÓN"</formula>
    </cfRule>
    <cfRule type="expression" dxfId="58" priority="1" stopIfTrue="1">
      <formula>$Q5="YA RELACIONADO"</formula>
    </cfRule>
  </conditionalFormatting>
  <dataValidations count="3">
    <dataValidation type="list" allowBlank="1" showInputMessage="1" showErrorMessage="1" sqref="N2:N40" xr:uid="{8F006550-53B1-4B59-84CD-0FCA635AA965}">
      <formula1>$AD$1:$AD$2</formula1>
    </dataValidation>
    <dataValidation type="list" allowBlank="1" showInputMessage="1" showErrorMessage="1" sqref="L2:L40" xr:uid="{520D4F12-BD0A-4609-9102-04CE689AD0A3}">
      <formula1>$AB$1:$AB$2</formula1>
    </dataValidation>
    <dataValidation type="list" allowBlank="1" showInputMessage="1" showErrorMessage="1" sqref="Q2:Q40" xr:uid="{0D683812-8C25-4AF0-969B-B8C69B6C96BF}">
      <formula1>$AC$1:$AC$7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6255-692C-4BA3-979D-443605056AA1}">
  <sheetPr codeName="Hoja6">
    <tabColor rgb="FFC00000"/>
  </sheetPr>
  <dimension ref="A1:AD42"/>
  <sheetViews>
    <sheetView topLeftCell="M21" zoomScaleNormal="100" workbookViewId="0">
      <selection activeCell="S3" sqref="S3"/>
    </sheetView>
  </sheetViews>
  <sheetFormatPr defaultColWidth="10.76171875" defaultRowHeight="15" x14ac:dyDescent="0.2"/>
  <cols>
    <col min="1" max="1" width="32.1484375" style="3" customWidth="1"/>
    <col min="2" max="2" width="22.46484375" style="15" customWidth="1"/>
    <col min="3" max="3" width="19.37109375" style="15" customWidth="1"/>
    <col min="4" max="4" width="17.08203125" customWidth="1"/>
    <col min="5" max="5" width="34.70703125" style="15" customWidth="1"/>
    <col min="6" max="6" width="17.08203125" style="7" customWidth="1"/>
    <col min="7" max="7" width="16.41015625" style="10" customWidth="1"/>
    <col min="8" max="8" width="39.546875" customWidth="1"/>
    <col min="9" max="9" width="19.234375" style="10" customWidth="1"/>
    <col min="10" max="10" width="11.56640625" style="10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12" customWidth="1"/>
    <col min="18" max="18" width="36.58984375" style="3" customWidth="1"/>
    <col min="19" max="19" width="47.62109375" style="15" customWidth="1"/>
    <col min="28" max="28" width="17.75390625" customWidth="1"/>
    <col min="29" max="29" width="26.36328125" customWidth="1"/>
  </cols>
  <sheetData>
    <row r="1" spans="1:30" x14ac:dyDescent="0.2">
      <c r="A1" s="2" t="s">
        <v>0</v>
      </c>
      <c r="B1" s="14" t="s">
        <v>1</v>
      </c>
      <c r="C1" s="14" t="s">
        <v>2</v>
      </c>
      <c r="D1" s="1" t="s">
        <v>3</v>
      </c>
      <c r="E1" s="14" t="s">
        <v>4</v>
      </c>
      <c r="F1" s="7" t="s">
        <v>5</v>
      </c>
      <c r="G1" s="6" t="s">
        <v>6</v>
      </c>
      <c r="H1" s="1" t="s">
        <v>7</v>
      </c>
      <c r="I1" s="6" t="s">
        <v>8</v>
      </c>
      <c r="J1" s="6" t="s">
        <v>9</v>
      </c>
      <c r="K1" s="6" t="s">
        <v>10</v>
      </c>
      <c r="L1" s="1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2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x14ac:dyDescent="0.2">
      <c r="A2" s="2">
        <v>45811</v>
      </c>
      <c r="B2" s="14" t="s">
        <v>381</v>
      </c>
      <c r="C2" s="14" t="s">
        <v>382</v>
      </c>
      <c r="D2" s="14">
        <v>302</v>
      </c>
      <c r="E2" s="14" t="s">
        <v>383</v>
      </c>
      <c r="G2" s="6">
        <v>60000</v>
      </c>
      <c r="H2" s="14"/>
      <c r="I2" s="6"/>
      <c r="J2" s="6"/>
      <c r="K2" s="6"/>
      <c r="L2" s="14" t="s">
        <v>26</v>
      </c>
      <c r="M2" s="6">
        <f t="shared" ref="M2:M40" si="0">(F2+G2-I2-K2)</f>
        <v>60000</v>
      </c>
      <c r="N2" s="14" t="s">
        <v>21</v>
      </c>
      <c r="O2" s="6">
        <f t="shared" ref="O2:O40" si="1">IF(N2="X25%",M2*0.25,IF(N2="X50%",M2/2,""))</f>
        <v>30000</v>
      </c>
      <c r="P2" s="6">
        <f t="shared" ref="P2:P40" si="2">(M2/2+J2)</f>
        <v>30000</v>
      </c>
      <c r="Q2" s="14" t="s">
        <v>20</v>
      </c>
      <c r="R2" s="2">
        <v>45834</v>
      </c>
      <c r="S2" s="14" t="s">
        <v>384</v>
      </c>
      <c r="AB2" s="1" t="s">
        <v>26</v>
      </c>
      <c r="AC2" s="14" t="s">
        <v>28</v>
      </c>
      <c r="AD2" s="14" t="s">
        <v>29</v>
      </c>
    </row>
    <row r="3" spans="1:30" x14ac:dyDescent="0.2">
      <c r="A3" s="2">
        <v>45812</v>
      </c>
      <c r="B3" s="14" t="s">
        <v>284</v>
      </c>
      <c r="C3" s="14" t="s">
        <v>385</v>
      </c>
      <c r="D3" s="14" t="s">
        <v>219</v>
      </c>
      <c r="E3" s="14" t="s">
        <v>386</v>
      </c>
      <c r="F3" s="7">
        <v>120000</v>
      </c>
      <c r="G3" s="6"/>
      <c r="H3" s="14"/>
      <c r="I3" s="6"/>
      <c r="J3" s="6"/>
      <c r="K3" s="6"/>
      <c r="L3" s="14" t="s">
        <v>19</v>
      </c>
      <c r="M3" s="6">
        <f t="shared" si="0"/>
        <v>120000</v>
      </c>
      <c r="N3" s="14" t="s">
        <v>21</v>
      </c>
      <c r="O3" s="6">
        <f t="shared" si="1"/>
        <v>60000</v>
      </c>
      <c r="P3" s="6">
        <f t="shared" si="2"/>
        <v>60000</v>
      </c>
      <c r="Q3" s="14" t="s">
        <v>35</v>
      </c>
      <c r="R3" s="2"/>
      <c r="S3" s="14" t="s">
        <v>720</v>
      </c>
      <c r="AC3" s="14" t="s">
        <v>33</v>
      </c>
    </row>
    <row r="4" spans="1:30" ht="27.75" x14ac:dyDescent="0.2">
      <c r="A4" s="2">
        <v>45815</v>
      </c>
      <c r="B4" s="14" t="s">
        <v>374</v>
      </c>
      <c r="C4" s="14" t="s">
        <v>387</v>
      </c>
      <c r="D4" s="14" t="s">
        <v>31</v>
      </c>
      <c r="E4" s="14" t="s">
        <v>388</v>
      </c>
      <c r="G4" s="6">
        <v>1000000</v>
      </c>
      <c r="H4" s="14"/>
      <c r="I4" s="6"/>
      <c r="J4" s="6"/>
      <c r="K4" s="6"/>
      <c r="L4" s="14" t="s">
        <v>19</v>
      </c>
      <c r="M4" s="6">
        <f t="shared" si="0"/>
        <v>1000000</v>
      </c>
      <c r="N4" s="14" t="s">
        <v>21</v>
      </c>
      <c r="O4" s="6">
        <f t="shared" si="1"/>
        <v>500000</v>
      </c>
      <c r="P4" s="6">
        <f t="shared" si="2"/>
        <v>500000</v>
      </c>
      <c r="Q4" s="14" t="s">
        <v>20</v>
      </c>
      <c r="R4" s="2">
        <v>45815</v>
      </c>
      <c r="S4" s="14" t="s">
        <v>389</v>
      </c>
      <c r="AC4" s="14" t="s">
        <v>35</v>
      </c>
    </row>
    <row r="5" spans="1:30" ht="27.75" x14ac:dyDescent="0.2">
      <c r="A5" s="2">
        <v>45818</v>
      </c>
      <c r="B5" s="14" t="s">
        <v>390</v>
      </c>
      <c r="C5" s="14" t="s">
        <v>391</v>
      </c>
      <c r="D5" s="14" t="s">
        <v>392</v>
      </c>
      <c r="E5" s="14" t="s">
        <v>393</v>
      </c>
      <c r="F5" s="7">
        <v>150000</v>
      </c>
      <c r="G5" s="6"/>
      <c r="H5" s="14"/>
      <c r="I5" s="6"/>
      <c r="J5" s="6"/>
      <c r="K5" s="6"/>
      <c r="L5" s="14" t="s">
        <v>26</v>
      </c>
      <c r="M5" s="6">
        <f t="shared" si="0"/>
        <v>150000</v>
      </c>
      <c r="N5" s="14" t="s">
        <v>21</v>
      </c>
      <c r="O5" s="6">
        <f t="shared" si="1"/>
        <v>75000</v>
      </c>
      <c r="P5" s="6">
        <f t="shared" si="2"/>
        <v>75000</v>
      </c>
      <c r="Q5" s="14" t="s">
        <v>20</v>
      </c>
      <c r="R5" s="2">
        <v>45818</v>
      </c>
      <c r="S5" s="14" t="s">
        <v>394</v>
      </c>
      <c r="AC5" s="14" t="s">
        <v>39</v>
      </c>
    </row>
    <row r="6" spans="1:30" ht="27.75" x14ac:dyDescent="0.2">
      <c r="A6" s="2">
        <v>45818</v>
      </c>
      <c r="B6" s="14" t="s">
        <v>395</v>
      </c>
      <c r="C6" s="14"/>
      <c r="D6" s="14" t="s">
        <v>396</v>
      </c>
      <c r="E6" s="14" t="s">
        <v>397</v>
      </c>
      <c r="G6" s="6">
        <v>200000</v>
      </c>
      <c r="H6" s="14" t="s">
        <v>332</v>
      </c>
      <c r="I6" s="6">
        <v>2000</v>
      </c>
      <c r="J6" s="6"/>
      <c r="K6" s="6"/>
      <c r="L6" s="14" t="s">
        <v>26</v>
      </c>
      <c r="M6" s="6">
        <f t="shared" si="0"/>
        <v>198000</v>
      </c>
      <c r="N6" s="14" t="s">
        <v>21</v>
      </c>
      <c r="O6" s="6">
        <f t="shared" si="1"/>
        <v>99000</v>
      </c>
      <c r="P6" s="6">
        <f t="shared" si="2"/>
        <v>99000</v>
      </c>
      <c r="Q6" s="14" t="s">
        <v>20</v>
      </c>
      <c r="R6" s="2">
        <v>45818</v>
      </c>
      <c r="S6" s="14" t="s">
        <v>394</v>
      </c>
      <c r="AC6" s="14" t="s">
        <v>45</v>
      </c>
    </row>
    <row r="7" spans="1:30" ht="41.25" x14ac:dyDescent="0.2">
      <c r="A7" s="2">
        <v>45819</v>
      </c>
      <c r="B7" s="14" t="s">
        <v>294</v>
      </c>
      <c r="C7" s="14" t="s">
        <v>295</v>
      </c>
      <c r="D7" s="14" t="s">
        <v>92</v>
      </c>
      <c r="E7" s="14" t="s">
        <v>398</v>
      </c>
      <c r="G7" s="6">
        <v>500000</v>
      </c>
      <c r="H7" s="14"/>
      <c r="I7" s="6"/>
      <c r="J7" s="6"/>
      <c r="K7" s="6"/>
      <c r="L7" s="14" t="s">
        <v>19</v>
      </c>
      <c r="M7" s="6">
        <f t="shared" si="0"/>
        <v>500000</v>
      </c>
      <c r="N7" s="14" t="s">
        <v>21</v>
      </c>
      <c r="O7" s="6">
        <f t="shared" si="1"/>
        <v>250000</v>
      </c>
      <c r="P7" s="6">
        <f t="shared" si="2"/>
        <v>250000</v>
      </c>
      <c r="Q7" s="14" t="s">
        <v>20</v>
      </c>
      <c r="R7" s="2">
        <v>45819</v>
      </c>
      <c r="S7" s="14" t="s">
        <v>399</v>
      </c>
      <c r="AC7" s="14" t="s">
        <v>50</v>
      </c>
    </row>
    <row r="8" spans="1:30" ht="54.75" x14ac:dyDescent="0.2">
      <c r="A8" s="2">
        <v>45820</v>
      </c>
      <c r="B8" s="14" t="s">
        <v>400</v>
      </c>
      <c r="C8" s="14" t="s">
        <v>401</v>
      </c>
      <c r="D8" s="14">
        <v>101</v>
      </c>
      <c r="E8" s="14" t="s">
        <v>402</v>
      </c>
      <c r="F8" s="7">
        <v>50000</v>
      </c>
      <c r="G8" s="6"/>
      <c r="H8" s="14"/>
      <c r="I8" s="6"/>
      <c r="J8" s="6">
        <v>9500</v>
      </c>
      <c r="K8" s="6"/>
      <c r="L8" s="14" t="s">
        <v>19</v>
      </c>
      <c r="M8" s="6">
        <f t="shared" si="0"/>
        <v>50000</v>
      </c>
      <c r="N8" s="14" t="s">
        <v>21</v>
      </c>
      <c r="O8" s="6">
        <f t="shared" si="1"/>
        <v>25000</v>
      </c>
      <c r="P8" s="6">
        <f t="shared" si="2"/>
        <v>34500</v>
      </c>
      <c r="Q8" s="14" t="s">
        <v>20</v>
      </c>
      <c r="R8" s="2">
        <v>45820</v>
      </c>
      <c r="S8" s="14" t="s">
        <v>403</v>
      </c>
    </row>
    <row r="9" spans="1:30" ht="41.25" x14ac:dyDescent="0.2">
      <c r="A9" s="2">
        <v>45820</v>
      </c>
      <c r="B9" s="14" t="s">
        <v>404</v>
      </c>
      <c r="C9" s="14" t="s">
        <v>405</v>
      </c>
      <c r="D9" s="14"/>
      <c r="E9" s="14" t="s">
        <v>32</v>
      </c>
      <c r="G9" s="6">
        <v>50000</v>
      </c>
      <c r="H9" s="14"/>
      <c r="I9" s="6"/>
      <c r="J9" s="6"/>
      <c r="K9" s="6"/>
      <c r="L9" s="14" t="s">
        <v>26</v>
      </c>
      <c r="M9" s="6">
        <f t="shared" si="0"/>
        <v>50000</v>
      </c>
      <c r="N9" s="14" t="s">
        <v>21</v>
      </c>
      <c r="O9" s="6">
        <f t="shared" si="1"/>
        <v>25000</v>
      </c>
      <c r="P9" s="6">
        <f t="shared" si="2"/>
        <v>25000</v>
      </c>
      <c r="Q9" s="14" t="s">
        <v>20</v>
      </c>
      <c r="R9" s="2">
        <v>45820</v>
      </c>
      <c r="S9" s="14" t="s">
        <v>406</v>
      </c>
    </row>
    <row r="10" spans="1:30" ht="41.25" x14ac:dyDescent="0.2">
      <c r="A10" s="2">
        <v>45824</v>
      </c>
      <c r="B10" s="14" t="s">
        <v>407</v>
      </c>
      <c r="C10" s="14" t="s">
        <v>408</v>
      </c>
      <c r="D10" s="14" t="s">
        <v>409</v>
      </c>
      <c r="E10" s="14" t="s">
        <v>410</v>
      </c>
      <c r="G10" s="6">
        <v>780000</v>
      </c>
      <c r="H10" s="14" t="s">
        <v>411</v>
      </c>
      <c r="I10" s="6">
        <v>244500</v>
      </c>
      <c r="J10" s="6">
        <v>148200</v>
      </c>
      <c r="K10" s="6"/>
      <c r="L10" s="14" t="s">
        <v>19</v>
      </c>
      <c r="M10" s="6">
        <f t="shared" si="0"/>
        <v>535500</v>
      </c>
      <c r="N10" s="14" t="s">
        <v>21</v>
      </c>
      <c r="O10" s="6">
        <f t="shared" si="1"/>
        <v>267750</v>
      </c>
      <c r="P10" s="6">
        <f t="shared" si="2"/>
        <v>415950</v>
      </c>
      <c r="Q10" s="14" t="s">
        <v>20</v>
      </c>
      <c r="R10" s="2">
        <v>45826</v>
      </c>
      <c r="S10" s="14" t="s">
        <v>412</v>
      </c>
    </row>
    <row r="11" spans="1:30" ht="41.25" x14ac:dyDescent="0.2">
      <c r="A11" s="40">
        <v>45825</v>
      </c>
      <c r="B11" s="39" t="s">
        <v>413</v>
      </c>
      <c r="C11" s="39" t="s">
        <v>414</v>
      </c>
      <c r="D11" s="39" t="s">
        <v>111</v>
      </c>
      <c r="E11" s="39" t="s">
        <v>415</v>
      </c>
      <c r="G11" s="6"/>
      <c r="H11" s="14"/>
      <c r="I11" s="6"/>
      <c r="J11" s="6"/>
      <c r="K11" s="6"/>
      <c r="L11" s="14" t="s">
        <v>19</v>
      </c>
      <c r="M11" s="6">
        <f t="shared" si="0"/>
        <v>0</v>
      </c>
      <c r="N11" s="14"/>
      <c r="O11" s="6" t="str">
        <f t="shared" si="1"/>
        <v/>
      </c>
      <c r="P11" s="6">
        <f t="shared" si="2"/>
        <v>0</v>
      </c>
      <c r="Q11" s="14" t="s">
        <v>33</v>
      </c>
      <c r="R11" s="2"/>
      <c r="S11" s="14"/>
    </row>
    <row r="12" spans="1:30" x14ac:dyDescent="0.2">
      <c r="A12" s="40">
        <v>45826</v>
      </c>
      <c r="B12" s="39" t="s">
        <v>416</v>
      </c>
      <c r="C12" s="39"/>
      <c r="D12" s="39" t="s">
        <v>111</v>
      </c>
      <c r="E12" s="39" t="s">
        <v>64</v>
      </c>
      <c r="G12" s="6">
        <v>60000</v>
      </c>
      <c r="H12" s="14"/>
      <c r="I12" s="6"/>
      <c r="J12" s="6">
        <v>11400</v>
      </c>
      <c r="K12" s="6"/>
      <c r="L12" s="14" t="s">
        <v>26</v>
      </c>
      <c r="M12" s="6">
        <f t="shared" si="0"/>
        <v>60000</v>
      </c>
      <c r="N12" s="14" t="s">
        <v>21</v>
      </c>
      <c r="O12" s="6">
        <f t="shared" si="1"/>
        <v>30000</v>
      </c>
      <c r="P12" s="6">
        <f t="shared" si="2"/>
        <v>41400</v>
      </c>
      <c r="Q12" s="14" t="s">
        <v>20</v>
      </c>
      <c r="R12" s="2">
        <v>45834</v>
      </c>
      <c r="S12" s="14" t="s">
        <v>384</v>
      </c>
    </row>
    <row r="13" spans="1:30" ht="41.25" x14ac:dyDescent="0.2">
      <c r="A13" s="2">
        <v>45826</v>
      </c>
      <c r="B13" s="14" t="s">
        <v>417</v>
      </c>
      <c r="C13" s="14" t="s">
        <v>95</v>
      </c>
      <c r="D13" s="14" t="s">
        <v>418</v>
      </c>
      <c r="E13" s="14" t="s">
        <v>419</v>
      </c>
      <c r="G13" s="6"/>
      <c r="H13" s="14"/>
      <c r="I13" s="6"/>
      <c r="J13" s="6"/>
      <c r="K13" s="6"/>
      <c r="L13" s="14" t="s">
        <v>19</v>
      </c>
      <c r="M13" s="6">
        <f t="shared" si="0"/>
        <v>0</v>
      </c>
      <c r="N13" s="14" t="s">
        <v>29</v>
      </c>
      <c r="O13" s="6">
        <f t="shared" si="1"/>
        <v>0</v>
      </c>
      <c r="P13" s="6">
        <f t="shared" si="2"/>
        <v>0</v>
      </c>
      <c r="Q13" s="14" t="s">
        <v>20</v>
      </c>
      <c r="R13" s="2">
        <v>45840</v>
      </c>
      <c r="S13" s="14" t="s">
        <v>420</v>
      </c>
    </row>
    <row r="14" spans="1:30" ht="27.75" x14ac:dyDescent="0.2">
      <c r="A14" s="2">
        <v>45826</v>
      </c>
      <c r="B14" s="14" t="s">
        <v>400</v>
      </c>
      <c r="C14" s="14" t="s">
        <v>401</v>
      </c>
      <c r="D14" s="14">
        <v>101</v>
      </c>
      <c r="E14" s="14" t="s">
        <v>421</v>
      </c>
      <c r="G14" s="6">
        <v>160000</v>
      </c>
      <c r="H14" s="14"/>
      <c r="I14" s="6"/>
      <c r="J14" s="6"/>
      <c r="K14" s="6"/>
      <c r="L14" s="14" t="s">
        <v>19</v>
      </c>
      <c r="M14" s="6">
        <f t="shared" si="0"/>
        <v>160000</v>
      </c>
      <c r="N14" s="14" t="s">
        <v>21</v>
      </c>
      <c r="O14" s="6">
        <f t="shared" si="1"/>
        <v>80000</v>
      </c>
      <c r="P14" s="6">
        <f t="shared" si="2"/>
        <v>80000</v>
      </c>
      <c r="Q14" s="14" t="s">
        <v>20</v>
      </c>
      <c r="R14" s="2">
        <v>45826</v>
      </c>
      <c r="S14" s="14" t="s">
        <v>422</v>
      </c>
    </row>
    <row r="15" spans="1:30" ht="27.75" x14ac:dyDescent="0.2">
      <c r="A15" s="2">
        <v>45827</v>
      </c>
      <c r="B15" s="14" t="s">
        <v>423</v>
      </c>
      <c r="C15" s="14" t="s">
        <v>424</v>
      </c>
      <c r="D15" s="14" t="s">
        <v>425</v>
      </c>
      <c r="E15" s="14" t="s">
        <v>426</v>
      </c>
      <c r="G15" s="6">
        <v>532000</v>
      </c>
      <c r="H15" s="14"/>
      <c r="I15" s="6"/>
      <c r="J15" s="6"/>
      <c r="K15" s="6"/>
      <c r="L15" s="14" t="s">
        <v>19</v>
      </c>
      <c r="M15" s="6">
        <f t="shared" si="0"/>
        <v>532000</v>
      </c>
      <c r="N15" s="14" t="s">
        <v>29</v>
      </c>
      <c r="O15" s="6">
        <f t="shared" si="1"/>
        <v>133000</v>
      </c>
      <c r="P15" s="6">
        <f t="shared" si="2"/>
        <v>266000</v>
      </c>
      <c r="Q15" s="14" t="s">
        <v>20</v>
      </c>
      <c r="R15" s="2">
        <v>45835</v>
      </c>
      <c r="S15" s="14" t="s">
        <v>537</v>
      </c>
    </row>
    <row r="16" spans="1:30" x14ac:dyDescent="0.2">
      <c r="A16" s="2">
        <v>45827</v>
      </c>
      <c r="B16" s="14" t="s">
        <v>109</v>
      </c>
      <c r="C16" s="14" t="s">
        <v>145</v>
      </c>
      <c r="D16" s="14" t="s">
        <v>111</v>
      </c>
      <c r="E16" s="14" t="s">
        <v>427</v>
      </c>
      <c r="G16" s="6"/>
      <c r="H16" s="14"/>
      <c r="I16" s="6"/>
      <c r="J16" s="6"/>
      <c r="K16" s="6"/>
      <c r="L16" s="14" t="s">
        <v>19</v>
      </c>
      <c r="M16" s="6">
        <f t="shared" si="0"/>
        <v>0</v>
      </c>
      <c r="N16" s="14" t="s">
        <v>21</v>
      </c>
      <c r="O16" s="6">
        <f t="shared" si="1"/>
        <v>0</v>
      </c>
      <c r="P16" s="6">
        <f t="shared" si="2"/>
        <v>0</v>
      </c>
      <c r="Q16" s="14" t="s">
        <v>50</v>
      </c>
      <c r="R16" s="2"/>
      <c r="S16" s="14"/>
    </row>
    <row r="17" spans="1:19" x14ac:dyDescent="0.2">
      <c r="A17" s="2">
        <v>45828</v>
      </c>
      <c r="B17" s="14" t="s">
        <v>428</v>
      </c>
      <c r="C17" s="14" t="s">
        <v>429</v>
      </c>
      <c r="D17" s="14" t="s">
        <v>430</v>
      </c>
      <c r="E17" s="14" t="s">
        <v>32</v>
      </c>
      <c r="G17" s="6">
        <v>60000</v>
      </c>
      <c r="H17" s="14"/>
      <c r="I17" s="6"/>
      <c r="J17" s="6"/>
      <c r="K17" s="6"/>
      <c r="L17" s="14" t="s">
        <v>26</v>
      </c>
      <c r="M17" s="6">
        <f t="shared" si="0"/>
        <v>60000</v>
      </c>
      <c r="N17" s="14" t="s">
        <v>21</v>
      </c>
      <c r="O17" s="6">
        <f t="shared" si="1"/>
        <v>30000</v>
      </c>
      <c r="P17" s="6">
        <f t="shared" si="2"/>
        <v>30000</v>
      </c>
      <c r="Q17" s="14" t="s">
        <v>20</v>
      </c>
      <c r="R17" s="2">
        <v>45834</v>
      </c>
      <c r="S17" s="14" t="s">
        <v>384</v>
      </c>
    </row>
    <row r="18" spans="1:19" x14ac:dyDescent="0.2">
      <c r="A18" s="2">
        <v>45828</v>
      </c>
      <c r="B18" s="14" t="s">
        <v>431</v>
      </c>
      <c r="C18" s="14" t="s">
        <v>432</v>
      </c>
      <c r="D18" s="14" t="s">
        <v>433</v>
      </c>
      <c r="E18" s="14" t="s">
        <v>434</v>
      </c>
      <c r="G18" s="6"/>
      <c r="H18" s="14"/>
      <c r="I18" s="6"/>
      <c r="J18" s="6"/>
      <c r="K18" s="6"/>
      <c r="L18" s="14"/>
      <c r="M18" s="6">
        <f t="shared" si="0"/>
        <v>0</v>
      </c>
      <c r="N18" s="14" t="s">
        <v>21</v>
      </c>
      <c r="O18" s="6">
        <f t="shared" si="1"/>
        <v>0</v>
      </c>
      <c r="P18" s="6">
        <f t="shared" si="2"/>
        <v>0</v>
      </c>
      <c r="Q18" s="14" t="s">
        <v>33</v>
      </c>
      <c r="R18" s="2"/>
      <c r="S18" s="14"/>
    </row>
    <row r="19" spans="1:19" x14ac:dyDescent="0.2">
      <c r="A19" s="2">
        <v>45832</v>
      </c>
      <c r="B19" s="14" t="s">
        <v>435</v>
      </c>
      <c r="C19" s="14" t="s">
        <v>436</v>
      </c>
      <c r="D19" s="14" t="s">
        <v>437</v>
      </c>
      <c r="E19" s="14" t="s">
        <v>438</v>
      </c>
      <c r="G19" s="6">
        <v>50000</v>
      </c>
      <c r="H19" s="14"/>
      <c r="I19" s="6"/>
      <c r="J19" s="6"/>
      <c r="K19" s="6"/>
      <c r="L19" s="14" t="s">
        <v>26</v>
      </c>
      <c r="M19" s="6">
        <f t="shared" si="0"/>
        <v>50000</v>
      </c>
      <c r="N19" s="14" t="s">
        <v>21</v>
      </c>
      <c r="O19" s="6">
        <f t="shared" si="1"/>
        <v>25000</v>
      </c>
      <c r="P19" s="6">
        <f t="shared" si="2"/>
        <v>25000</v>
      </c>
      <c r="Q19" s="14" t="s">
        <v>20</v>
      </c>
      <c r="R19" s="2">
        <v>45834</v>
      </c>
      <c r="S19" s="14" t="s">
        <v>384</v>
      </c>
    </row>
    <row r="20" spans="1:19" ht="27.75" x14ac:dyDescent="0.2">
      <c r="A20" s="2">
        <v>45832</v>
      </c>
      <c r="B20" s="14" t="s">
        <v>439</v>
      </c>
      <c r="C20" s="14" t="s">
        <v>440</v>
      </c>
      <c r="D20" s="14" t="s">
        <v>31</v>
      </c>
      <c r="E20" s="14" t="s">
        <v>441</v>
      </c>
      <c r="G20" s="6">
        <v>237585</v>
      </c>
      <c r="H20" s="14"/>
      <c r="I20" s="6"/>
      <c r="J20" s="6">
        <v>47500</v>
      </c>
      <c r="K20" s="6"/>
      <c r="L20" s="14" t="s">
        <v>19</v>
      </c>
      <c r="M20" s="6">
        <f t="shared" si="0"/>
        <v>237585</v>
      </c>
      <c r="N20" s="14" t="s">
        <v>21</v>
      </c>
      <c r="O20" s="6">
        <f t="shared" si="1"/>
        <v>118792.5</v>
      </c>
      <c r="P20" s="6">
        <f t="shared" si="2"/>
        <v>166292.5</v>
      </c>
      <c r="Q20" s="14" t="s">
        <v>20</v>
      </c>
      <c r="R20" s="2">
        <v>45833</v>
      </c>
      <c r="S20" s="14" t="s">
        <v>442</v>
      </c>
    </row>
    <row r="21" spans="1:19" ht="27.75" x14ac:dyDescent="0.2">
      <c r="A21" s="2">
        <v>45833</v>
      </c>
      <c r="B21" s="14" t="s">
        <v>431</v>
      </c>
      <c r="C21" s="14" t="s">
        <v>432</v>
      </c>
      <c r="D21" s="14" t="s">
        <v>433</v>
      </c>
      <c r="E21" s="14" t="s">
        <v>443</v>
      </c>
      <c r="G21" s="6">
        <v>150000</v>
      </c>
      <c r="H21" s="14" t="s">
        <v>444</v>
      </c>
      <c r="I21" s="6">
        <v>20000</v>
      </c>
      <c r="J21" s="6"/>
      <c r="K21" s="6"/>
      <c r="L21" s="14" t="s">
        <v>26</v>
      </c>
      <c r="M21" s="6">
        <f t="shared" si="0"/>
        <v>130000</v>
      </c>
      <c r="N21" s="14" t="s">
        <v>21</v>
      </c>
      <c r="O21" s="6">
        <f t="shared" si="1"/>
        <v>65000</v>
      </c>
      <c r="P21" s="6">
        <f t="shared" si="2"/>
        <v>65000</v>
      </c>
      <c r="Q21" s="14" t="s">
        <v>20</v>
      </c>
      <c r="R21" s="2">
        <v>45834</v>
      </c>
      <c r="S21" s="14" t="s">
        <v>384</v>
      </c>
    </row>
    <row r="22" spans="1:19" ht="27.75" x14ac:dyDescent="0.2">
      <c r="A22" s="2">
        <v>45834</v>
      </c>
      <c r="B22" s="14" t="s">
        <v>250</v>
      </c>
      <c r="C22" s="14" t="s">
        <v>445</v>
      </c>
      <c r="D22" s="14" t="s">
        <v>446</v>
      </c>
      <c r="E22" s="14" t="s">
        <v>447</v>
      </c>
      <c r="F22" s="7">
        <v>50000</v>
      </c>
      <c r="G22" s="6"/>
      <c r="H22" s="14"/>
      <c r="I22" s="6"/>
      <c r="J22" s="6">
        <v>9500</v>
      </c>
      <c r="K22" s="6"/>
      <c r="L22" s="14" t="s">
        <v>19</v>
      </c>
      <c r="M22" s="6">
        <f t="shared" si="0"/>
        <v>50000</v>
      </c>
      <c r="N22" s="14" t="s">
        <v>21</v>
      </c>
      <c r="O22" s="6">
        <f t="shared" si="1"/>
        <v>25000</v>
      </c>
      <c r="P22" s="6">
        <f t="shared" si="2"/>
        <v>34500</v>
      </c>
      <c r="Q22" s="14" t="s">
        <v>50</v>
      </c>
      <c r="R22" s="2"/>
      <c r="S22" s="14"/>
    </row>
    <row r="23" spans="1:19" ht="27.75" x14ac:dyDescent="0.2">
      <c r="A23" s="2">
        <v>45834</v>
      </c>
      <c r="B23" s="14" t="s">
        <v>448</v>
      </c>
      <c r="C23" s="14" t="s">
        <v>449</v>
      </c>
      <c r="D23" s="14" t="s">
        <v>450</v>
      </c>
      <c r="E23" s="14" t="s">
        <v>451</v>
      </c>
      <c r="G23" s="6">
        <v>280000</v>
      </c>
      <c r="H23" s="14" t="s">
        <v>452</v>
      </c>
      <c r="I23" s="6">
        <v>31000</v>
      </c>
      <c r="J23" s="6"/>
      <c r="K23" s="6"/>
      <c r="L23" s="14" t="s">
        <v>26</v>
      </c>
      <c r="M23" s="6">
        <f t="shared" si="0"/>
        <v>249000</v>
      </c>
      <c r="N23" s="14" t="s">
        <v>21</v>
      </c>
      <c r="O23" s="6">
        <f t="shared" si="1"/>
        <v>124500</v>
      </c>
      <c r="P23" s="6">
        <f t="shared" si="2"/>
        <v>124500</v>
      </c>
      <c r="Q23" s="14" t="s">
        <v>20</v>
      </c>
      <c r="R23" s="2">
        <v>45834</v>
      </c>
      <c r="S23" s="14" t="s">
        <v>384</v>
      </c>
    </row>
    <row r="24" spans="1:19" ht="41.25" x14ac:dyDescent="0.2">
      <c r="A24" s="2">
        <v>45835</v>
      </c>
      <c r="B24" s="14" t="s">
        <v>453</v>
      </c>
      <c r="C24" s="14"/>
      <c r="D24" s="14" t="s">
        <v>107</v>
      </c>
      <c r="E24" s="14" t="s">
        <v>454</v>
      </c>
      <c r="G24" s="6">
        <v>284177</v>
      </c>
      <c r="H24" s="14"/>
      <c r="I24" s="6"/>
      <c r="J24" s="6">
        <v>98800</v>
      </c>
      <c r="K24" s="6"/>
      <c r="L24" s="14" t="s">
        <v>19</v>
      </c>
      <c r="M24" s="6">
        <f t="shared" si="0"/>
        <v>284177</v>
      </c>
      <c r="N24" s="14" t="s">
        <v>29</v>
      </c>
      <c r="O24" s="6">
        <f t="shared" si="1"/>
        <v>71044.25</v>
      </c>
      <c r="P24" s="6">
        <f t="shared" si="2"/>
        <v>240888.5</v>
      </c>
      <c r="Q24" s="14" t="s">
        <v>20</v>
      </c>
      <c r="R24" s="2">
        <v>45910</v>
      </c>
      <c r="S24" s="14" t="s">
        <v>648</v>
      </c>
    </row>
    <row r="25" spans="1:19" ht="27.75" x14ac:dyDescent="0.2">
      <c r="A25" s="2">
        <v>45836</v>
      </c>
      <c r="B25" s="14" t="s">
        <v>455</v>
      </c>
      <c r="C25" s="14" t="s">
        <v>456</v>
      </c>
      <c r="D25" s="14" t="s">
        <v>457</v>
      </c>
      <c r="E25" s="14" t="s">
        <v>458</v>
      </c>
      <c r="G25" s="6">
        <v>400000</v>
      </c>
      <c r="H25" s="14"/>
      <c r="I25" s="6"/>
      <c r="J25" s="6"/>
      <c r="K25" s="6"/>
      <c r="L25" s="14" t="s">
        <v>19</v>
      </c>
      <c r="M25" s="6">
        <f t="shared" si="0"/>
        <v>400000</v>
      </c>
      <c r="N25" s="14" t="s">
        <v>21</v>
      </c>
      <c r="O25" s="6">
        <f t="shared" si="1"/>
        <v>200000</v>
      </c>
      <c r="P25" s="6">
        <f t="shared" si="2"/>
        <v>200000</v>
      </c>
      <c r="Q25" s="14" t="s">
        <v>20</v>
      </c>
      <c r="R25" s="2">
        <v>45852</v>
      </c>
      <c r="S25" s="14" t="s">
        <v>459</v>
      </c>
    </row>
    <row r="26" spans="1:19" x14ac:dyDescent="0.2">
      <c r="A26" s="2"/>
      <c r="B26" s="14"/>
      <c r="C26" s="14"/>
      <c r="D26" s="14"/>
      <c r="E26" s="14"/>
      <c r="G26" s="6"/>
      <c r="H26" s="14"/>
      <c r="I26" s="6"/>
      <c r="J26" s="6"/>
      <c r="K26" s="6"/>
      <c r="L26" s="14"/>
      <c r="M26" s="6"/>
      <c r="N26" s="14"/>
      <c r="O26" s="6" t="str">
        <f t="shared" si="1"/>
        <v/>
      </c>
      <c r="P26" s="6">
        <f t="shared" si="2"/>
        <v>0</v>
      </c>
      <c r="Q26" s="14"/>
      <c r="R26" s="2"/>
      <c r="S26" s="14"/>
    </row>
    <row r="27" spans="1:19" x14ac:dyDescent="0.2">
      <c r="A27" s="2"/>
      <c r="B27" s="14"/>
      <c r="C27" s="14"/>
      <c r="D27" s="14"/>
      <c r="E27" s="14"/>
      <c r="G27" s="6"/>
      <c r="H27" s="14"/>
      <c r="I27" s="6"/>
      <c r="J27" s="6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2"/>
      <c r="S27" s="14"/>
    </row>
    <row r="28" spans="1:19" x14ac:dyDescent="0.2">
      <c r="A28" s="2"/>
      <c r="B28" s="14"/>
      <c r="C28" s="14"/>
      <c r="D28" s="14"/>
      <c r="E28" s="14"/>
      <c r="G28" s="6"/>
      <c r="H28" s="14"/>
      <c r="I28" s="6"/>
      <c r="J28" s="6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>(M28/2+J28)</f>
        <v>0</v>
      </c>
      <c r="Q28" s="14"/>
      <c r="R28" s="2"/>
      <c r="S28" s="14"/>
    </row>
    <row r="29" spans="1:19" x14ac:dyDescent="0.2">
      <c r="A29" s="2"/>
      <c r="B29" s="14"/>
      <c r="C29" s="14"/>
      <c r="D29" s="14"/>
      <c r="E29" s="14"/>
      <c r="G29" s="6"/>
      <c r="H29" s="14"/>
      <c r="I29" s="6"/>
      <c r="J29" s="6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2"/>
      <c r="S29" s="14"/>
    </row>
    <row r="30" spans="1:19" x14ac:dyDescent="0.2">
      <c r="A30" s="2"/>
      <c r="B30" s="14"/>
      <c r="C30" s="14"/>
      <c r="D30" s="14"/>
      <c r="E30" s="14"/>
      <c r="G30" s="6"/>
      <c r="H30" s="14"/>
      <c r="I30" s="6"/>
      <c r="J30" s="6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2"/>
      <c r="S30" s="14"/>
    </row>
    <row r="31" spans="1:19" x14ac:dyDescent="0.2">
      <c r="A31" s="2"/>
      <c r="B31" s="14"/>
      <c r="C31" s="14"/>
      <c r="D31" s="14"/>
      <c r="E31" s="14"/>
      <c r="G31" s="6"/>
      <c r="H31" s="14"/>
      <c r="I31" s="6"/>
      <c r="J31" s="6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2"/>
      <c r="S31" s="14"/>
    </row>
    <row r="32" spans="1:19" x14ac:dyDescent="0.2">
      <c r="A32" s="2"/>
      <c r="B32" s="14"/>
      <c r="C32" s="14"/>
      <c r="D32" s="14"/>
      <c r="E32" s="14"/>
      <c r="G32" s="6"/>
      <c r="H32" s="14"/>
      <c r="I32" s="6"/>
      <c r="J32" s="6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2"/>
      <c r="S32" s="14"/>
    </row>
    <row r="33" spans="1:19" x14ac:dyDescent="0.2">
      <c r="A33" s="2"/>
      <c r="B33" s="14"/>
      <c r="C33" s="14"/>
      <c r="D33" s="14"/>
      <c r="E33" s="14"/>
      <c r="G33" s="6"/>
      <c r="H33" s="14"/>
      <c r="I33" s="6"/>
      <c r="J33" s="6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2"/>
      <c r="S33" s="14"/>
    </row>
    <row r="34" spans="1:19" x14ac:dyDescent="0.2">
      <c r="A34" s="2"/>
      <c r="B34" s="14"/>
      <c r="C34" s="14"/>
      <c r="D34" s="14"/>
      <c r="E34" s="14"/>
      <c r="G34" s="6"/>
      <c r="H34" s="14"/>
      <c r="I34" s="6"/>
      <c r="J34" s="6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2"/>
      <c r="S34" s="14"/>
    </row>
    <row r="35" spans="1:19" x14ac:dyDescent="0.2">
      <c r="A35" s="2"/>
      <c r="B35" s="14"/>
      <c r="C35" s="14"/>
      <c r="D35" s="14"/>
      <c r="E35" s="14"/>
      <c r="G35" s="6"/>
      <c r="H35" s="14"/>
      <c r="I35" s="6"/>
      <c r="J35" s="6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2"/>
      <c r="S35" s="14"/>
    </row>
    <row r="36" spans="1:19" x14ac:dyDescent="0.2">
      <c r="A36" s="2"/>
      <c r="B36" s="14"/>
      <c r="C36" s="14"/>
      <c r="D36" s="14"/>
      <c r="E36" s="14"/>
      <c r="G36" s="6"/>
      <c r="H36" s="14"/>
      <c r="I36" s="6"/>
      <c r="J36" s="6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2"/>
      <c r="S36" s="14"/>
    </row>
    <row r="37" spans="1:19" x14ac:dyDescent="0.2">
      <c r="A37" s="2"/>
      <c r="B37" s="14"/>
      <c r="C37" s="14"/>
      <c r="D37" s="14"/>
      <c r="E37" s="14"/>
      <c r="G37" s="6"/>
      <c r="H37" s="14"/>
      <c r="I37" s="6"/>
      <c r="J37" s="6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2"/>
      <c r="S37" s="14"/>
    </row>
    <row r="38" spans="1:19" x14ac:dyDescent="0.2">
      <c r="A38" s="2"/>
      <c r="B38" s="14"/>
      <c r="C38" s="14"/>
      <c r="D38" s="14"/>
      <c r="E38" s="14"/>
      <c r="G38" s="6"/>
      <c r="H38" s="14"/>
      <c r="I38" s="6"/>
      <c r="J38" s="6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2"/>
      <c r="S38" s="14"/>
    </row>
    <row r="39" spans="1:19" x14ac:dyDescent="0.2">
      <c r="A39" s="2"/>
      <c r="B39" s="14"/>
      <c r="C39" s="14"/>
      <c r="D39" s="14"/>
      <c r="E39" s="14"/>
      <c r="G39" s="6"/>
      <c r="H39" s="14"/>
      <c r="I39" s="6"/>
      <c r="J39" s="6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2"/>
      <c r="S39" s="14"/>
    </row>
    <row r="40" spans="1:19" x14ac:dyDescent="0.2">
      <c r="A40" s="2"/>
      <c r="B40" s="14"/>
      <c r="C40" s="14"/>
      <c r="D40" s="14"/>
      <c r="E40" s="14"/>
      <c r="G40" s="6"/>
      <c r="H40" s="14"/>
      <c r="I40" s="6"/>
      <c r="J40" s="6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2"/>
      <c r="S40" s="14"/>
    </row>
    <row r="41" spans="1:19" x14ac:dyDescent="0.2">
      <c r="A41" s="2"/>
      <c r="B41" s="14"/>
      <c r="C41" s="14"/>
      <c r="D41" s="14"/>
      <c r="E41" s="14"/>
      <c r="G41" s="6"/>
      <c r="H41" s="14"/>
      <c r="I41" s="6"/>
      <c r="J41" s="6"/>
      <c r="K41" s="6"/>
      <c r="L41" s="1"/>
      <c r="M41" s="6">
        <f>(F41+G41-I41-K41)</f>
        <v>0</v>
      </c>
      <c r="N41" s="8"/>
      <c r="O41" s="6" t="str">
        <f>IF(N41="X25%",M41*0.25,IF(N41="X50%",M41/2,""))</f>
        <v/>
      </c>
      <c r="P41" s="6">
        <f>(M41/2+J41)</f>
        <v>0</v>
      </c>
      <c r="Q41" s="11"/>
      <c r="R41" s="2"/>
      <c r="S41" s="14"/>
    </row>
    <row r="42" spans="1:19" x14ac:dyDescent="0.2">
      <c r="A42" s="3" t="s">
        <v>119</v>
      </c>
      <c r="F42" s="13"/>
      <c r="H42" s="15"/>
      <c r="S42" s="15">
        <f>SUBTOTAL(103,Tabla14567[[NOTAS ]])</f>
        <v>20</v>
      </c>
    </row>
  </sheetData>
  <conditionalFormatting sqref="A2:S42">
    <cfRule type="expression" dxfId="57" priority="1" stopIfTrue="1">
      <formula>$Q2="YA RELACIONADO"</formula>
    </cfRule>
    <cfRule type="expression" dxfId="56" priority="2" stopIfTrue="1">
      <formula>$Q2="COTIZACIÓN"</formula>
    </cfRule>
    <cfRule type="expression" dxfId="55" priority="3" stopIfTrue="1">
      <formula>$Q2="NO PAGARON DOMICILIO"</formula>
    </cfRule>
    <cfRule type="expression" dxfId="54" priority="4" stopIfTrue="1">
      <formula>$Q2="NO SE COBRA DOMICILIO"</formula>
    </cfRule>
    <cfRule type="expression" dxfId="53" priority="5" stopIfTrue="1">
      <formula>$Q2="GARANTIA"</formula>
    </cfRule>
    <cfRule type="expression" dxfId="52" priority="6" stopIfTrue="1">
      <formula>$Q2="CANCELADO"</formula>
    </cfRule>
  </conditionalFormatting>
  <dataValidations count="3">
    <dataValidation type="list" allowBlank="1" showInputMessage="1" showErrorMessage="1" sqref="Q2:Q41" xr:uid="{61EAD9EE-36F6-4FFC-ADEF-4E9CF80B1B93}">
      <formula1>$AC$1:$AC$7</formula1>
    </dataValidation>
    <dataValidation type="list" allowBlank="1" showInputMessage="1" showErrorMessage="1" sqref="L2:L41" xr:uid="{AC183B13-4088-4172-A26B-9FF5D2DC969C}">
      <formula1>$AB$1:$AB$2</formula1>
    </dataValidation>
    <dataValidation type="list" allowBlank="1" showInputMessage="1" showErrorMessage="1" sqref="N2:N41" xr:uid="{1808BDC9-47D5-45E1-9952-FD9A2AD941DC}">
      <formula1>$AD$1:$AD$2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E3DE8-414E-498D-A9CC-8AB3BDE7D3AD}">
  <sheetPr codeName="Hoja7">
    <tabColor rgb="FFC00000"/>
  </sheetPr>
  <dimension ref="A1:AD41"/>
  <sheetViews>
    <sheetView topLeftCell="B2" zoomScaleNormal="100" workbookViewId="0">
      <selection activeCell="B9" sqref="B9"/>
    </sheetView>
  </sheetViews>
  <sheetFormatPr defaultColWidth="10.76171875" defaultRowHeight="15" x14ac:dyDescent="0.2"/>
  <cols>
    <col min="1" max="1" width="32.1484375" style="3" customWidth="1"/>
    <col min="2" max="2" width="29.45703125" style="15" customWidth="1"/>
    <col min="3" max="3" width="20.17578125" style="15" customWidth="1"/>
    <col min="4" max="4" width="18.6953125" customWidth="1"/>
    <col min="5" max="5" width="34.70703125" style="15" customWidth="1"/>
    <col min="6" max="6" width="17.08203125" style="7" customWidth="1"/>
    <col min="7" max="7" width="16.41015625" style="5" customWidth="1"/>
    <col min="8" max="8" width="39.546875" customWidth="1"/>
    <col min="9" max="9" width="19.234375" customWidth="1"/>
    <col min="10" max="10" width="11.56640625" style="18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12" customWidth="1"/>
    <col min="18" max="18" width="36.58984375" style="3" customWidth="1"/>
    <col min="19" max="19" width="47.62109375" style="15" customWidth="1"/>
    <col min="28" max="28" width="17.75390625" customWidth="1"/>
    <col min="29" max="29" width="26.36328125" customWidth="1"/>
  </cols>
  <sheetData>
    <row r="1" spans="1:30" x14ac:dyDescent="0.2">
      <c r="A1" s="2" t="s">
        <v>0</v>
      </c>
      <c r="B1" s="14" t="s">
        <v>1</v>
      </c>
      <c r="C1" s="14" t="s">
        <v>2</v>
      </c>
      <c r="D1" s="1" t="s">
        <v>3</v>
      </c>
      <c r="E1" s="14" t="s">
        <v>4</v>
      </c>
      <c r="F1" s="7" t="s">
        <v>5</v>
      </c>
      <c r="G1" s="4" t="s">
        <v>6</v>
      </c>
      <c r="H1" s="1" t="s">
        <v>7</v>
      </c>
      <c r="I1" s="1" t="s">
        <v>8</v>
      </c>
      <c r="J1" s="17" t="s">
        <v>9</v>
      </c>
      <c r="K1" s="6" t="s">
        <v>10</v>
      </c>
      <c r="L1" s="1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2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ht="41.25" x14ac:dyDescent="0.2">
      <c r="A2" s="2">
        <v>45840</v>
      </c>
      <c r="B2" s="14" t="s">
        <v>460</v>
      </c>
      <c r="C2" s="14" t="s">
        <v>461</v>
      </c>
      <c r="D2" s="1" t="s">
        <v>462</v>
      </c>
      <c r="E2" s="14" t="s">
        <v>463</v>
      </c>
      <c r="G2" s="17">
        <v>960000</v>
      </c>
      <c r="H2" s="14"/>
      <c r="I2" s="17"/>
      <c r="J2" s="17"/>
      <c r="K2" s="6"/>
      <c r="L2" s="14" t="s">
        <v>19</v>
      </c>
      <c r="M2" s="6">
        <f t="shared" ref="M2:M40" si="0">(F2+G2-I2-K2)</f>
        <v>960000</v>
      </c>
      <c r="N2" s="14" t="s">
        <v>29</v>
      </c>
      <c r="O2" s="6">
        <f t="shared" ref="O2:O40" si="1">IF(N2="X25%",M2*0.25,IF(N2="X50%",M2/2,""))</f>
        <v>240000</v>
      </c>
      <c r="P2" s="6">
        <f t="shared" ref="P2:P40" si="2">(M2/2+J2)</f>
        <v>480000</v>
      </c>
      <c r="Q2" s="14" t="s">
        <v>20</v>
      </c>
      <c r="R2" s="2">
        <v>45859</v>
      </c>
      <c r="S2" s="14" t="s">
        <v>464</v>
      </c>
      <c r="AB2" s="1" t="s">
        <v>26</v>
      </c>
      <c r="AC2" s="14" t="s">
        <v>28</v>
      </c>
      <c r="AD2" s="14" t="s">
        <v>29</v>
      </c>
    </row>
    <row r="3" spans="1:30" ht="27.75" x14ac:dyDescent="0.2">
      <c r="A3" s="2">
        <v>45841</v>
      </c>
      <c r="B3" s="14" t="s">
        <v>465</v>
      </c>
      <c r="C3" s="14" t="s">
        <v>466</v>
      </c>
      <c r="D3" s="1" t="s">
        <v>467</v>
      </c>
      <c r="E3" s="14" t="s">
        <v>468</v>
      </c>
      <c r="G3" s="17"/>
      <c r="H3" s="14"/>
      <c r="I3" s="17"/>
      <c r="J3" s="17"/>
      <c r="K3" s="6"/>
      <c r="L3" s="14"/>
      <c r="M3" s="6">
        <f t="shared" si="0"/>
        <v>0</v>
      </c>
      <c r="N3" s="14" t="s">
        <v>21</v>
      </c>
      <c r="O3" s="6">
        <f t="shared" si="1"/>
        <v>0</v>
      </c>
      <c r="P3" s="6">
        <f t="shared" si="2"/>
        <v>0</v>
      </c>
      <c r="Q3" s="14" t="s">
        <v>33</v>
      </c>
      <c r="R3" s="2"/>
      <c r="S3" s="14"/>
      <c r="AC3" s="14" t="s">
        <v>33</v>
      </c>
    </row>
    <row r="4" spans="1:30" x14ac:dyDescent="0.2">
      <c r="A4" s="2">
        <v>45841</v>
      </c>
      <c r="B4" s="14" t="s">
        <v>469</v>
      </c>
      <c r="C4" s="14" t="s">
        <v>470</v>
      </c>
      <c r="D4" s="1">
        <v>501</v>
      </c>
      <c r="E4" s="14" t="s">
        <v>471</v>
      </c>
      <c r="F4" s="7">
        <v>90000</v>
      </c>
      <c r="G4" s="17"/>
      <c r="H4" s="14"/>
      <c r="I4" s="17"/>
      <c r="J4" s="17">
        <v>17100</v>
      </c>
      <c r="K4" s="6"/>
      <c r="L4" s="14" t="s">
        <v>19</v>
      </c>
      <c r="M4" s="6">
        <f t="shared" si="0"/>
        <v>90000</v>
      </c>
      <c r="N4" s="14" t="s">
        <v>21</v>
      </c>
      <c r="O4" s="6">
        <f t="shared" si="1"/>
        <v>45000</v>
      </c>
      <c r="P4" s="6">
        <f t="shared" si="2"/>
        <v>62100</v>
      </c>
      <c r="Q4" s="14" t="s">
        <v>50</v>
      </c>
      <c r="R4" s="2"/>
      <c r="S4" s="14"/>
      <c r="AC4" s="14" t="s">
        <v>35</v>
      </c>
    </row>
    <row r="5" spans="1:30" ht="27.75" x14ac:dyDescent="0.2">
      <c r="A5" s="2">
        <v>45842</v>
      </c>
      <c r="B5" s="14" t="s">
        <v>472</v>
      </c>
      <c r="C5" s="14" t="s">
        <v>473</v>
      </c>
      <c r="D5" s="1" t="s">
        <v>474</v>
      </c>
      <c r="E5" s="14" t="s">
        <v>475</v>
      </c>
      <c r="G5" s="17">
        <v>1000000</v>
      </c>
      <c r="H5" s="14"/>
      <c r="I5" s="17"/>
      <c r="J5" s="17"/>
      <c r="K5" s="6"/>
      <c r="L5" s="14" t="s">
        <v>19</v>
      </c>
      <c r="M5" s="6">
        <f t="shared" si="0"/>
        <v>1000000</v>
      </c>
      <c r="N5" s="14" t="s">
        <v>21</v>
      </c>
      <c r="O5" s="6">
        <f t="shared" si="1"/>
        <v>500000</v>
      </c>
      <c r="P5" s="6">
        <f t="shared" si="2"/>
        <v>500000</v>
      </c>
      <c r="Q5" s="14" t="s">
        <v>20</v>
      </c>
      <c r="R5" s="2">
        <v>45842</v>
      </c>
      <c r="S5" s="14" t="s">
        <v>476</v>
      </c>
      <c r="AC5" s="14" t="s">
        <v>39</v>
      </c>
    </row>
    <row r="6" spans="1:30" ht="41.25" x14ac:dyDescent="0.2">
      <c r="A6" s="2">
        <v>45846</v>
      </c>
      <c r="B6" s="14" t="s">
        <v>477</v>
      </c>
      <c r="C6" s="14" t="s">
        <v>478</v>
      </c>
      <c r="D6" s="1" t="s">
        <v>111</v>
      </c>
      <c r="E6" s="14" t="s">
        <v>479</v>
      </c>
      <c r="G6" s="17">
        <v>452687</v>
      </c>
      <c r="H6" s="14" t="s">
        <v>514</v>
      </c>
      <c r="I6" s="17">
        <v>60000</v>
      </c>
      <c r="J6" s="17">
        <v>91200</v>
      </c>
      <c r="K6" s="6"/>
      <c r="L6" s="14" t="s">
        <v>19</v>
      </c>
      <c r="M6" s="6">
        <f t="shared" si="0"/>
        <v>392687</v>
      </c>
      <c r="N6" s="14" t="s">
        <v>21</v>
      </c>
      <c r="O6" s="6">
        <f t="shared" si="1"/>
        <v>196343.5</v>
      </c>
      <c r="P6" s="6">
        <f t="shared" si="2"/>
        <v>287543.5</v>
      </c>
      <c r="Q6" s="14" t="s">
        <v>20</v>
      </c>
      <c r="R6" s="2">
        <v>45862</v>
      </c>
      <c r="S6" s="14" t="s">
        <v>515</v>
      </c>
      <c r="AC6" s="14" t="s">
        <v>45</v>
      </c>
    </row>
    <row r="7" spans="1:30" ht="27.75" x14ac:dyDescent="0.2">
      <c r="A7" s="2">
        <v>45848</v>
      </c>
      <c r="B7" s="14" t="s">
        <v>480</v>
      </c>
      <c r="C7" s="14" t="s">
        <v>481</v>
      </c>
      <c r="D7" s="1" t="s">
        <v>92</v>
      </c>
      <c r="E7" s="14" t="s">
        <v>482</v>
      </c>
      <c r="F7" s="7">
        <v>120000</v>
      </c>
      <c r="G7" s="17"/>
      <c r="H7" s="14"/>
      <c r="I7" s="17"/>
      <c r="J7" s="17"/>
      <c r="K7" s="6"/>
      <c r="L7" s="14" t="s">
        <v>26</v>
      </c>
      <c r="M7" s="6">
        <f t="shared" si="0"/>
        <v>120000</v>
      </c>
      <c r="N7" s="14" t="s">
        <v>21</v>
      </c>
      <c r="O7" s="6">
        <f t="shared" si="1"/>
        <v>60000</v>
      </c>
      <c r="P7" s="6">
        <f t="shared" si="2"/>
        <v>60000</v>
      </c>
      <c r="Q7" s="14" t="s">
        <v>20</v>
      </c>
      <c r="R7" s="2">
        <v>45859</v>
      </c>
      <c r="S7" s="14" t="s">
        <v>483</v>
      </c>
      <c r="AC7" s="14" t="s">
        <v>50</v>
      </c>
    </row>
    <row r="8" spans="1:30" ht="27.75" x14ac:dyDescent="0.2">
      <c r="A8" s="2">
        <v>45849</v>
      </c>
      <c r="B8" s="14" t="s">
        <v>484</v>
      </c>
      <c r="C8" s="14" t="s">
        <v>485</v>
      </c>
      <c r="D8" s="1" t="s">
        <v>107</v>
      </c>
      <c r="E8" s="14" t="s">
        <v>486</v>
      </c>
      <c r="G8" s="17"/>
      <c r="H8" s="14"/>
      <c r="I8" s="17"/>
      <c r="J8" s="17"/>
      <c r="K8" s="6"/>
      <c r="L8" s="14"/>
      <c r="M8" s="6">
        <f t="shared" si="0"/>
        <v>0</v>
      </c>
      <c r="N8" s="14" t="s">
        <v>21</v>
      </c>
      <c r="O8" s="6">
        <f t="shared" si="1"/>
        <v>0</v>
      </c>
      <c r="P8" s="6">
        <f t="shared" si="2"/>
        <v>0</v>
      </c>
      <c r="Q8" s="14" t="s">
        <v>33</v>
      </c>
      <c r="R8" s="2"/>
      <c r="S8" s="14"/>
    </row>
    <row r="9" spans="1:30" ht="41.25" x14ac:dyDescent="0.2">
      <c r="A9" s="2">
        <v>45852</v>
      </c>
      <c r="B9" s="14" t="s">
        <v>745</v>
      </c>
      <c r="C9" s="14" t="s">
        <v>743</v>
      </c>
      <c r="D9" s="1" t="s">
        <v>467</v>
      </c>
      <c r="E9" s="14" t="s">
        <v>487</v>
      </c>
      <c r="G9" s="17">
        <v>740265</v>
      </c>
      <c r="H9" s="14" t="s">
        <v>488</v>
      </c>
      <c r="I9" s="17">
        <v>162000</v>
      </c>
      <c r="J9" s="17">
        <v>148200</v>
      </c>
      <c r="K9" s="6"/>
      <c r="L9" s="14" t="s">
        <v>19</v>
      </c>
      <c r="M9" s="6">
        <f t="shared" si="0"/>
        <v>578265</v>
      </c>
      <c r="N9" s="14" t="s">
        <v>21</v>
      </c>
      <c r="O9" s="6">
        <f t="shared" si="1"/>
        <v>289132.5</v>
      </c>
      <c r="P9" s="6">
        <f t="shared" si="2"/>
        <v>437332.5</v>
      </c>
      <c r="Q9" s="14" t="s">
        <v>20</v>
      </c>
      <c r="R9" s="2">
        <v>45868</v>
      </c>
      <c r="S9" s="14" t="s">
        <v>531</v>
      </c>
    </row>
    <row r="10" spans="1:30" ht="27.75" x14ac:dyDescent="0.2">
      <c r="A10" s="2">
        <v>45852</v>
      </c>
      <c r="B10" s="14" t="s">
        <v>489</v>
      </c>
      <c r="C10" s="14" t="s">
        <v>490</v>
      </c>
      <c r="D10" s="1" t="s">
        <v>491</v>
      </c>
      <c r="E10" s="14" t="s">
        <v>492</v>
      </c>
      <c r="F10" s="7">
        <v>150000</v>
      </c>
      <c r="G10" s="17"/>
      <c r="H10" s="14"/>
      <c r="I10" s="17"/>
      <c r="J10" s="17"/>
      <c r="K10" s="6"/>
      <c r="L10" s="14" t="s">
        <v>19</v>
      </c>
      <c r="M10" s="6">
        <f t="shared" si="0"/>
        <v>150000</v>
      </c>
      <c r="N10" s="14" t="s">
        <v>21</v>
      </c>
      <c r="O10" s="6">
        <f t="shared" si="1"/>
        <v>75000</v>
      </c>
      <c r="P10" s="6">
        <f t="shared" si="2"/>
        <v>75000</v>
      </c>
      <c r="Q10" s="14" t="s">
        <v>20</v>
      </c>
      <c r="R10" s="2">
        <v>45853</v>
      </c>
      <c r="S10" s="14" t="s">
        <v>493</v>
      </c>
    </row>
    <row r="11" spans="1:30" ht="68.25" x14ac:dyDescent="0.2">
      <c r="A11" s="2">
        <v>45853</v>
      </c>
      <c r="B11" s="14" t="s">
        <v>484</v>
      </c>
      <c r="C11" s="14" t="s">
        <v>485</v>
      </c>
      <c r="D11" s="1" t="s">
        <v>107</v>
      </c>
      <c r="E11" s="14" t="s">
        <v>494</v>
      </c>
      <c r="G11" s="17">
        <v>580000</v>
      </c>
      <c r="H11" s="14" t="s">
        <v>495</v>
      </c>
      <c r="I11" s="17">
        <v>26000</v>
      </c>
      <c r="J11" s="17"/>
      <c r="K11" s="6"/>
      <c r="L11" s="14" t="s">
        <v>19</v>
      </c>
      <c r="M11" s="6">
        <f t="shared" si="0"/>
        <v>554000</v>
      </c>
      <c r="N11" s="14" t="s">
        <v>29</v>
      </c>
      <c r="O11" s="6">
        <f t="shared" si="1"/>
        <v>138500</v>
      </c>
      <c r="P11" s="6">
        <f t="shared" si="2"/>
        <v>277000</v>
      </c>
      <c r="Q11" s="14" t="s">
        <v>20</v>
      </c>
      <c r="R11" s="2">
        <v>45855</v>
      </c>
      <c r="S11" s="14" t="s">
        <v>496</v>
      </c>
    </row>
    <row r="12" spans="1:30" ht="27.75" x14ac:dyDescent="0.2">
      <c r="A12" s="2">
        <v>45854</v>
      </c>
      <c r="B12" s="41" t="s">
        <v>497</v>
      </c>
      <c r="C12" s="14" t="s">
        <v>498</v>
      </c>
      <c r="D12" s="1" t="s">
        <v>499</v>
      </c>
      <c r="E12" s="14" t="s">
        <v>500</v>
      </c>
      <c r="G12" s="17">
        <v>280000</v>
      </c>
      <c r="H12" s="14"/>
      <c r="I12" s="17"/>
      <c r="J12" s="17"/>
      <c r="K12" s="6"/>
      <c r="L12" s="14" t="s">
        <v>26</v>
      </c>
      <c r="M12" s="6">
        <f t="shared" si="0"/>
        <v>280000</v>
      </c>
      <c r="N12" s="14" t="s">
        <v>21</v>
      </c>
      <c r="O12" s="6">
        <f t="shared" si="1"/>
        <v>140000</v>
      </c>
      <c r="P12" s="6">
        <f t="shared" si="2"/>
        <v>140000</v>
      </c>
      <c r="Q12" s="14" t="s">
        <v>20</v>
      </c>
      <c r="R12" s="2">
        <v>45859</v>
      </c>
      <c r="S12" s="14" t="s">
        <v>483</v>
      </c>
    </row>
    <row r="13" spans="1:30" ht="54.75" x14ac:dyDescent="0.2">
      <c r="A13" s="2">
        <v>45859</v>
      </c>
      <c r="B13" s="14" t="s">
        <v>501</v>
      </c>
      <c r="C13" s="14" t="s">
        <v>502</v>
      </c>
      <c r="D13" s="1" t="s">
        <v>31</v>
      </c>
      <c r="E13" s="14" t="s">
        <v>503</v>
      </c>
      <c r="G13" s="17">
        <v>400000</v>
      </c>
      <c r="H13" s="14"/>
      <c r="I13" s="17"/>
      <c r="J13" s="17"/>
      <c r="K13" s="6"/>
      <c r="L13" s="14" t="s">
        <v>19</v>
      </c>
      <c r="M13" s="6">
        <f t="shared" si="0"/>
        <v>400000</v>
      </c>
      <c r="N13" s="14" t="s">
        <v>21</v>
      </c>
      <c r="O13" s="6">
        <f t="shared" si="1"/>
        <v>200000</v>
      </c>
      <c r="P13" s="6">
        <f t="shared" si="2"/>
        <v>200000</v>
      </c>
      <c r="Q13" s="14" t="s">
        <v>20</v>
      </c>
      <c r="R13" s="2">
        <v>45859</v>
      </c>
      <c r="S13" s="14" t="s">
        <v>504</v>
      </c>
    </row>
    <row r="14" spans="1:30" x14ac:dyDescent="0.2">
      <c r="A14" s="2">
        <v>45859</v>
      </c>
      <c r="B14" s="14" t="s">
        <v>505</v>
      </c>
      <c r="C14" s="14" t="s">
        <v>506</v>
      </c>
      <c r="D14" s="1" t="s">
        <v>507</v>
      </c>
      <c r="E14" s="14" t="s">
        <v>32</v>
      </c>
      <c r="G14" s="17">
        <v>55000</v>
      </c>
      <c r="H14" s="14"/>
      <c r="I14" s="17"/>
      <c r="J14" s="17"/>
      <c r="K14" s="6"/>
      <c r="L14" s="14" t="s">
        <v>26</v>
      </c>
      <c r="M14" s="6">
        <f t="shared" si="0"/>
        <v>55000</v>
      </c>
      <c r="N14" s="14" t="s">
        <v>21</v>
      </c>
      <c r="O14" s="6">
        <f t="shared" si="1"/>
        <v>27500</v>
      </c>
      <c r="P14" s="6">
        <f t="shared" si="2"/>
        <v>27500</v>
      </c>
      <c r="Q14" s="14" t="s">
        <v>20</v>
      </c>
      <c r="R14" s="2">
        <v>45859</v>
      </c>
      <c r="S14" s="14" t="s">
        <v>508</v>
      </c>
    </row>
    <row r="15" spans="1:30" ht="27.75" x14ac:dyDescent="0.2">
      <c r="A15" s="2">
        <v>45860</v>
      </c>
      <c r="B15" s="14" t="s">
        <v>509</v>
      </c>
      <c r="C15" s="14" t="s">
        <v>510</v>
      </c>
      <c r="D15" s="1" t="s">
        <v>107</v>
      </c>
      <c r="E15" s="14" t="s">
        <v>511</v>
      </c>
      <c r="G15" s="17">
        <v>1539605</v>
      </c>
      <c r="H15" s="14"/>
      <c r="I15" s="17"/>
      <c r="J15" s="17"/>
      <c r="K15" s="6"/>
      <c r="L15" s="14" t="s">
        <v>19</v>
      </c>
      <c r="M15" s="6">
        <f t="shared" si="0"/>
        <v>1539605</v>
      </c>
      <c r="N15" s="14" t="s">
        <v>29</v>
      </c>
      <c r="O15" s="6">
        <f t="shared" si="1"/>
        <v>384901.25</v>
      </c>
      <c r="P15" s="6">
        <f t="shared" si="2"/>
        <v>769802.5</v>
      </c>
      <c r="Q15" s="14" t="s">
        <v>20</v>
      </c>
      <c r="R15" s="2">
        <v>45905</v>
      </c>
      <c r="S15" s="14" t="s">
        <v>642</v>
      </c>
    </row>
    <row r="16" spans="1:30" x14ac:dyDescent="0.2">
      <c r="A16" s="2">
        <v>45862</v>
      </c>
      <c r="B16" s="14" t="s">
        <v>512</v>
      </c>
      <c r="C16" s="14"/>
      <c r="D16" s="1" t="s">
        <v>513</v>
      </c>
      <c r="E16" s="14" t="s">
        <v>130</v>
      </c>
      <c r="G16" s="17"/>
      <c r="H16" s="14"/>
      <c r="I16" s="17"/>
      <c r="J16" s="17"/>
      <c r="K16" s="6"/>
      <c r="L16" s="14" t="s">
        <v>19</v>
      </c>
      <c r="M16" s="6">
        <f t="shared" si="0"/>
        <v>0</v>
      </c>
      <c r="N16" s="14" t="s">
        <v>21</v>
      </c>
      <c r="O16" s="6">
        <f t="shared" si="1"/>
        <v>0</v>
      </c>
      <c r="P16" s="6">
        <f t="shared" si="2"/>
        <v>0</v>
      </c>
      <c r="Q16" s="14" t="s">
        <v>50</v>
      </c>
      <c r="R16" s="2"/>
      <c r="S16" s="14"/>
    </row>
    <row r="17" spans="1:19" ht="27.75" x14ac:dyDescent="0.2">
      <c r="A17" s="2">
        <v>45866</v>
      </c>
      <c r="B17" s="14" t="s">
        <v>516</v>
      </c>
      <c r="C17" s="14" t="s">
        <v>517</v>
      </c>
      <c r="D17" s="1" t="s">
        <v>107</v>
      </c>
      <c r="E17" s="14" t="s">
        <v>518</v>
      </c>
      <c r="F17" s="7">
        <v>80000</v>
      </c>
      <c r="G17" s="17"/>
      <c r="H17" s="14"/>
      <c r="I17" s="17"/>
      <c r="J17" s="17"/>
      <c r="K17" s="6"/>
      <c r="L17" s="14" t="s">
        <v>26</v>
      </c>
      <c r="M17" s="6">
        <f t="shared" si="0"/>
        <v>80000</v>
      </c>
      <c r="N17" s="14" t="s">
        <v>21</v>
      </c>
      <c r="O17" s="6">
        <f t="shared" si="1"/>
        <v>40000</v>
      </c>
      <c r="P17" s="6">
        <f t="shared" si="2"/>
        <v>40000</v>
      </c>
      <c r="Q17" s="14" t="s">
        <v>20</v>
      </c>
      <c r="R17" s="2">
        <v>45868</v>
      </c>
      <c r="S17" s="14" t="s">
        <v>532</v>
      </c>
    </row>
    <row r="18" spans="1:19" ht="41.25" x14ac:dyDescent="0.2">
      <c r="A18" s="2">
        <v>45866</v>
      </c>
      <c r="B18" s="14" t="s">
        <v>519</v>
      </c>
      <c r="C18" s="14" t="s">
        <v>520</v>
      </c>
      <c r="D18" s="1" t="s">
        <v>92</v>
      </c>
      <c r="E18" s="14" t="s">
        <v>521</v>
      </c>
      <c r="F18" s="7">
        <v>120000</v>
      </c>
      <c r="G18" s="17"/>
      <c r="H18" s="14"/>
      <c r="I18" s="17"/>
      <c r="J18" s="17"/>
      <c r="K18" s="6"/>
      <c r="L18" s="14" t="s">
        <v>19</v>
      </c>
      <c r="M18" s="6">
        <f t="shared" si="0"/>
        <v>120000</v>
      </c>
      <c r="N18" s="14" t="s">
        <v>21</v>
      </c>
      <c r="O18" s="6">
        <f t="shared" si="1"/>
        <v>60000</v>
      </c>
      <c r="P18" s="6">
        <f t="shared" si="2"/>
        <v>60000</v>
      </c>
      <c r="Q18" s="14" t="s">
        <v>35</v>
      </c>
      <c r="R18" s="2"/>
      <c r="S18" s="14" t="s">
        <v>574</v>
      </c>
    </row>
    <row r="19" spans="1:19" ht="68.25" x14ac:dyDescent="0.2">
      <c r="A19" s="2">
        <v>45866</v>
      </c>
      <c r="B19" s="14" t="s">
        <v>522</v>
      </c>
      <c r="C19" s="14" t="s">
        <v>523</v>
      </c>
      <c r="D19" s="1" t="s">
        <v>524</v>
      </c>
      <c r="E19" s="14" t="s">
        <v>525</v>
      </c>
      <c r="G19" s="17">
        <v>60000</v>
      </c>
      <c r="H19" s="14"/>
      <c r="I19" s="17"/>
      <c r="J19" s="17"/>
      <c r="K19" s="6"/>
      <c r="L19" s="14" t="s">
        <v>26</v>
      </c>
      <c r="M19" s="6">
        <f t="shared" si="0"/>
        <v>60000</v>
      </c>
      <c r="N19" s="14" t="s">
        <v>21</v>
      </c>
      <c r="O19" s="6">
        <f t="shared" si="1"/>
        <v>30000</v>
      </c>
      <c r="P19" s="6">
        <f t="shared" si="2"/>
        <v>30000</v>
      </c>
      <c r="Q19" s="14" t="s">
        <v>20</v>
      </c>
      <c r="R19" s="2">
        <v>45868</v>
      </c>
      <c r="S19" s="14" t="s">
        <v>533</v>
      </c>
    </row>
    <row r="20" spans="1:19" x14ac:dyDescent="0.2">
      <c r="A20" s="2">
        <v>45866</v>
      </c>
      <c r="B20" s="14" t="s">
        <v>526</v>
      </c>
      <c r="C20" s="14" t="s">
        <v>527</v>
      </c>
      <c r="D20" s="1"/>
      <c r="E20" s="14" t="s">
        <v>528</v>
      </c>
      <c r="F20" s="7">
        <v>114041</v>
      </c>
      <c r="G20" s="17"/>
      <c r="H20" s="14"/>
      <c r="I20" s="17"/>
      <c r="J20" s="17">
        <v>22800</v>
      </c>
      <c r="K20" s="6"/>
      <c r="L20" s="14" t="s">
        <v>19</v>
      </c>
      <c r="M20" s="6">
        <f t="shared" si="0"/>
        <v>114041</v>
      </c>
      <c r="N20" s="14" t="s">
        <v>21</v>
      </c>
      <c r="O20" s="6">
        <f t="shared" si="1"/>
        <v>57020.5</v>
      </c>
      <c r="P20" s="6">
        <f t="shared" si="2"/>
        <v>79820.5</v>
      </c>
      <c r="Q20" s="14" t="s">
        <v>20</v>
      </c>
      <c r="R20" s="2">
        <v>45890</v>
      </c>
      <c r="S20" s="14" t="s">
        <v>590</v>
      </c>
    </row>
    <row r="21" spans="1:19" ht="54.75" x14ac:dyDescent="0.2">
      <c r="A21" s="2">
        <v>45868</v>
      </c>
      <c r="B21" s="14" t="s">
        <v>516</v>
      </c>
      <c r="C21" s="14" t="s">
        <v>517</v>
      </c>
      <c r="D21" s="1" t="s">
        <v>107</v>
      </c>
      <c r="E21" s="14" t="s">
        <v>529</v>
      </c>
      <c r="G21" s="17">
        <v>807789</v>
      </c>
      <c r="H21" s="14" t="s">
        <v>530</v>
      </c>
      <c r="I21" s="17">
        <v>170000</v>
      </c>
      <c r="J21" s="17">
        <v>161500</v>
      </c>
      <c r="K21" s="6"/>
      <c r="L21" s="14" t="s">
        <v>19</v>
      </c>
      <c r="M21" s="6">
        <f t="shared" si="0"/>
        <v>637789</v>
      </c>
      <c r="N21" s="14" t="s">
        <v>21</v>
      </c>
      <c r="O21" s="6">
        <f t="shared" si="1"/>
        <v>318894.5</v>
      </c>
      <c r="P21" s="6">
        <f t="shared" si="2"/>
        <v>480394.5</v>
      </c>
      <c r="Q21" s="14" t="s">
        <v>20</v>
      </c>
      <c r="R21" s="2">
        <v>45868</v>
      </c>
      <c r="S21" s="14" t="s">
        <v>531</v>
      </c>
    </row>
    <row r="22" spans="1:19" ht="27.75" x14ac:dyDescent="0.2">
      <c r="A22" s="2">
        <v>45869</v>
      </c>
      <c r="B22" s="14" t="s">
        <v>534</v>
      </c>
      <c r="C22" s="14" t="s">
        <v>535</v>
      </c>
      <c r="D22" s="1" t="s">
        <v>107</v>
      </c>
      <c r="E22" s="14" t="s">
        <v>536</v>
      </c>
      <c r="G22" s="17">
        <v>427163</v>
      </c>
      <c r="H22" s="14"/>
      <c r="I22" s="17"/>
      <c r="J22" s="17"/>
      <c r="K22" s="6"/>
      <c r="L22" s="14" t="s">
        <v>19</v>
      </c>
      <c r="M22" s="6">
        <f t="shared" si="0"/>
        <v>427163</v>
      </c>
      <c r="N22" s="14" t="s">
        <v>29</v>
      </c>
      <c r="O22" s="6">
        <f t="shared" si="1"/>
        <v>106790.75</v>
      </c>
      <c r="P22" s="6">
        <f t="shared" si="2"/>
        <v>213581.5</v>
      </c>
      <c r="Q22" s="14" t="s">
        <v>20</v>
      </c>
      <c r="R22" s="2">
        <v>45875</v>
      </c>
      <c r="S22" s="14" t="s">
        <v>591</v>
      </c>
    </row>
    <row r="23" spans="1:19" x14ac:dyDescent="0.2">
      <c r="A23" s="2"/>
      <c r="B23" s="14"/>
      <c r="C23" s="14"/>
      <c r="D23" s="1"/>
      <c r="E23" s="14"/>
      <c r="G23" s="17"/>
      <c r="H23" s="14"/>
      <c r="I23" s="17"/>
      <c r="J23" s="17"/>
      <c r="K23" s="6"/>
      <c r="L23" s="14"/>
      <c r="M23" s="6">
        <f t="shared" si="0"/>
        <v>0</v>
      </c>
      <c r="N23" s="14"/>
      <c r="O23" s="6" t="str">
        <f t="shared" si="1"/>
        <v/>
      </c>
      <c r="P23" s="6">
        <f t="shared" si="2"/>
        <v>0</v>
      </c>
      <c r="Q23" s="14"/>
      <c r="R23" s="2"/>
      <c r="S23" s="14"/>
    </row>
    <row r="24" spans="1:19" x14ac:dyDescent="0.2">
      <c r="A24" s="2"/>
      <c r="B24" s="14"/>
      <c r="C24" s="14"/>
      <c r="D24" s="1"/>
      <c r="E24" s="14"/>
      <c r="G24" s="17"/>
      <c r="H24" s="14"/>
      <c r="I24" s="17"/>
      <c r="J24" s="17"/>
      <c r="K24" s="6"/>
      <c r="L24" s="14"/>
      <c r="M24" s="6">
        <f t="shared" si="0"/>
        <v>0</v>
      </c>
      <c r="N24" s="14"/>
      <c r="O24" s="6" t="str">
        <f t="shared" si="1"/>
        <v/>
      </c>
      <c r="P24" s="6">
        <f t="shared" si="2"/>
        <v>0</v>
      </c>
      <c r="Q24" s="14"/>
      <c r="R24" s="2"/>
      <c r="S24" s="14"/>
    </row>
    <row r="25" spans="1:19" x14ac:dyDescent="0.2">
      <c r="A25" s="2"/>
      <c r="B25" s="14"/>
      <c r="C25" s="14"/>
      <c r="D25" s="1"/>
      <c r="E25" s="14"/>
      <c r="G25" s="17"/>
      <c r="H25" s="14"/>
      <c r="I25" s="17"/>
      <c r="J25" s="17"/>
      <c r="K25" s="6"/>
      <c r="L25" s="14"/>
      <c r="M25" s="6">
        <f t="shared" si="0"/>
        <v>0</v>
      </c>
      <c r="N25" s="14"/>
      <c r="O25" s="6" t="str">
        <f t="shared" si="1"/>
        <v/>
      </c>
      <c r="P25" s="6">
        <f t="shared" si="2"/>
        <v>0</v>
      </c>
      <c r="Q25" s="14"/>
      <c r="R25" s="2"/>
      <c r="S25" s="14"/>
    </row>
    <row r="26" spans="1:19" x14ac:dyDescent="0.2">
      <c r="A26" s="2"/>
      <c r="B26" s="14"/>
      <c r="C26" s="14"/>
      <c r="D26" s="1"/>
      <c r="E26" s="14"/>
      <c r="G26" s="17"/>
      <c r="H26" s="14"/>
      <c r="I26" s="17"/>
      <c r="J26" s="17"/>
      <c r="K26" s="6"/>
      <c r="L26" s="14"/>
      <c r="M26" s="6">
        <f t="shared" si="0"/>
        <v>0</v>
      </c>
      <c r="N26" s="14"/>
      <c r="O26" s="6" t="str">
        <f t="shared" si="1"/>
        <v/>
      </c>
      <c r="P26" s="6">
        <f t="shared" si="2"/>
        <v>0</v>
      </c>
      <c r="Q26" s="14"/>
      <c r="R26" s="2"/>
      <c r="S26" s="14"/>
    </row>
    <row r="27" spans="1:19" x14ac:dyDescent="0.2">
      <c r="A27" s="2"/>
      <c r="B27" s="14"/>
      <c r="C27" s="14"/>
      <c r="D27" s="1"/>
      <c r="E27" s="14"/>
      <c r="G27" s="17"/>
      <c r="H27" s="14"/>
      <c r="I27" s="17"/>
      <c r="J27" s="17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2"/>
      <c r="S27" s="14"/>
    </row>
    <row r="28" spans="1:19" x14ac:dyDescent="0.2">
      <c r="A28" s="2"/>
      <c r="B28" s="14"/>
      <c r="C28" s="14"/>
      <c r="D28" s="1"/>
      <c r="E28" s="14"/>
      <c r="G28" s="17"/>
      <c r="H28" s="14"/>
      <c r="I28" s="17"/>
      <c r="J28" s="17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 t="shared" si="2"/>
        <v>0</v>
      </c>
      <c r="Q28" s="14"/>
      <c r="R28" s="2"/>
      <c r="S28" s="14"/>
    </row>
    <row r="29" spans="1:19" x14ac:dyDescent="0.2">
      <c r="A29" s="2"/>
      <c r="B29" s="14"/>
      <c r="C29" s="14"/>
      <c r="D29" s="1"/>
      <c r="E29" s="14"/>
      <c r="G29" s="17"/>
      <c r="H29" s="14"/>
      <c r="I29" s="17"/>
      <c r="J29" s="17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2"/>
      <c r="S29" s="14"/>
    </row>
    <row r="30" spans="1:19" x14ac:dyDescent="0.2">
      <c r="A30" s="2"/>
      <c r="B30" s="14"/>
      <c r="C30" s="14"/>
      <c r="D30" s="1"/>
      <c r="E30" s="14"/>
      <c r="G30" s="17"/>
      <c r="H30" s="14"/>
      <c r="I30" s="17"/>
      <c r="J30" s="17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2"/>
      <c r="S30" s="14"/>
    </row>
    <row r="31" spans="1:19" x14ac:dyDescent="0.2">
      <c r="A31" s="2"/>
      <c r="B31" s="14"/>
      <c r="C31" s="14"/>
      <c r="D31" s="1"/>
      <c r="E31" s="14"/>
      <c r="G31" s="17"/>
      <c r="H31" s="14"/>
      <c r="I31" s="17"/>
      <c r="J31" s="17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2"/>
      <c r="S31" s="14"/>
    </row>
    <row r="32" spans="1:19" x14ac:dyDescent="0.2">
      <c r="A32" s="2"/>
      <c r="B32" s="14"/>
      <c r="C32" s="14"/>
      <c r="D32" s="1"/>
      <c r="E32" s="14"/>
      <c r="G32" s="17"/>
      <c r="H32" s="14"/>
      <c r="I32" s="17"/>
      <c r="J32" s="17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2"/>
      <c r="S32" s="14"/>
    </row>
    <row r="33" spans="1:19" x14ac:dyDescent="0.2">
      <c r="A33" s="2"/>
      <c r="B33" s="14"/>
      <c r="C33" s="14"/>
      <c r="D33" s="1"/>
      <c r="E33" s="14"/>
      <c r="G33" s="17"/>
      <c r="H33" s="14"/>
      <c r="I33" s="17"/>
      <c r="J33" s="17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2"/>
      <c r="S33" s="14"/>
    </row>
    <row r="34" spans="1:19" x14ac:dyDescent="0.2">
      <c r="A34" s="2"/>
      <c r="B34" s="14"/>
      <c r="C34" s="14"/>
      <c r="D34" s="1"/>
      <c r="E34" s="14"/>
      <c r="G34" s="17"/>
      <c r="H34" s="14"/>
      <c r="I34" s="17"/>
      <c r="J34" s="17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2"/>
      <c r="S34" s="14"/>
    </row>
    <row r="35" spans="1:19" x14ac:dyDescent="0.2">
      <c r="A35" s="2"/>
      <c r="B35" s="14"/>
      <c r="C35" s="14"/>
      <c r="D35" s="1"/>
      <c r="E35" s="14"/>
      <c r="G35" s="17"/>
      <c r="H35" s="14"/>
      <c r="I35" s="17"/>
      <c r="J35" s="17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2"/>
      <c r="S35" s="14"/>
    </row>
    <row r="36" spans="1:19" x14ac:dyDescent="0.2">
      <c r="A36" s="2"/>
      <c r="B36" s="14"/>
      <c r="C36" s="14"/>
      <c r="D36" s="1"/>
      <c r="E36" s="14"/>
      <c r="G36" s="17"/>
      <c r="H36" s="14"/>
      <c r="I36" s="17"/>
      <c r="J36" s="17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2"/>
      <c r="S36" s="14"/>
    </row>
    <row r="37" spans="1:19" x14ac:dyDescent="0.2">
      <c r="A37" s="2"/>
      <c r="B37" s="14"/>
      <c r="C37" s="14"/>
      <c r="D37" s="1"/>
      <c r="E37" s="14"/>
      <c r="G37" s="17"/>
      <c r="H37" s="14"/>
      <c r="I37" s="17"/>
      <c r="J37" s="17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2"/>
      <c r="S37" s="14"/>
    </row>
    <row r="38" spans="1:19" x14ac:dyDescent="0.2">
      <c r="A38" s="2"/>
      <c r="B38" s="14"/>
      <c r="C38" s="14"/>
      <c r="D38" s="1"/>
      <c r="E38" s="14"/>
      <c r="G38" s="17"/>
      <c r="H38" s="14"/>
      <c r="I38" s="17"/>
      <c r="J38" s="17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2"/>
      <c r="S38" s="14"/>
    </row>
    <row r="39" spans="1:19" x14ac:dyDescent="0.2">
      <c r="A39" s="2"/>
      <c r="B39" s="14"/>
      <c r="C39" s="14"/>
      <c r="D39" s="1"/>
      <c r="E39" s="14"/>
      <c r="G39" s="17"/>
      <c r="H39" s="14"/>
      <c r="I39" s="17"/>
      <c r="J39" s="17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2"/>
      <c r="S39" s="14"/>
    </row>
    <row r="40" spans="1:19" x14ac:dyDescent="0.2">
      <c r="A40" s="2"/>
      <c r="B40" s="14"/>
      <c r="C40" s="14"/>
      <c r="D40" s="1"/>
      <c r="E40" s="14"/>
      <c r="G40" s="17"/>
      <c r="H40" s="14"/>
      <c r="I40" s="17"/>
      <c r="J40" s="17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2"/>
      <c r="S40" s="14"/>
    </row>
    <row r="41" spans="1:19" x14ac:dyDescent="0.2">
      <c r="A41" s="3" t="s">
        <v>119</v>
      </c>
      <c r="F41" s="13"/>
      <c r="G41" s="18"/>
      <c r="H41" s="15"/>
      <c r="I41" s="18"/>
      <c r="S41" s="15">
        <f>SUBTOTAL(103,Tabla145678[[NOTAS ]])</f>
        <v>17</v>
      </c>
    </row>
  </sheetData>
  <conditionalFormatting sqref="A2:S41">
    <cfRule type="expression" dxfId="51" priority="1" stopIfTrue="1">
      <formula>$Q2="YA RELACIONADO"</formula>
    </cfRule>
    <cfRule type="expression" dxfId="50" priority="2" stopIfTrue="1">
      <formula>$Q2="COTIZACIÓN"</formula>
    </cfRule>
    <cfRule type="expression" dxfId="49" priority="3" stopIfTrue="1">
      <formula>$Q2="NO PAGARON DOMICILIO"</formula>
    </cfRule>
    <cfRule type="expression" dxfId="48" priority="4" stopIfTrue="1">
      <formula>$Q2="NO SE COBRA DOMICILIO"</formula>
    </cfRule>
    <cfRule type="expression" dxfId="47" priority="5" stopIfTrue="1">
      <formula>$Q2="GARANTIA"</formula>
    </cfRule>
    <cfRule type="expression" dxfId="46" priority="6" stopIfTrue="1">
      <formula>$Q2="CANCELADO"</formula>
    </cfRule>
  </conditionalFormatting>
  <dataValidations count="3">
    <dataValidation type="list" allowBlank="1" showInputMessage="1" showErrorMessage="1" sqref="N2:N40" xr:uid="{920F62FC-CECC-4028-914C-664EE88C4ACF}">
      <formula1>$AD$1:$AD$2</formula1>
    </dataValidation>
    <dataValidation type="list" allowBlank="1" showInputMessage="1" showErrorMessage="1" sqref="L2:L40" xr:uid="{B645C18C-8487-409E-824B-2D3B72D10207}">
      <formula1>$AB$1:$AB$2</formula1>
    </dataValidation>
    <dataValidation type="list" allowBlank="1" showInputMessage="1" showErrorMessage="1" sqref="Q2:Q40" xr:uid="{51141C70-F811-4C7C-AD1E-6FFDEA1043BF}">
      <formula1>$AC$1:$AC$7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D0FC-7158-4758-9799-E87690960E7E}">
  <sheetPr codeName="Hoja8">
    <tabColor rgb="FFC00000"/>
  </sheetPr>
  <dimension ref="A1:AD41"/>
  <sheetViews>
    <sheetView topLeftCell="A17" zoomScaleNormal="100" workbookViewId="0">
      <selection activeCell="S16" sqref="S16"/>
    </sheetView>
  </sheetViews>
  <sheetFormatPr defaultColWidth="10.76171875" defaultRowHeight="15" x14ac:dyDescent="0.2"/>
  <cols>
    <col min="1" max="1" width="27.98046875" style="3" customWidth="1"/>
    <col min="2" max="2" width="26.90234375" style="15" customWidth="1"/>
    <col min="3" max="3" width="18.83203125" style="15" customWidth="1"/>
    <col min="4" max="4" width="17.21875" style="15" customWidth="1"/>
    <col min="5" max="5" width="34.70703125" style="15" customWidth="1"/>
    <col min="6" max="6" width="17.08203125" style="7" customWidth="1"/>
    <col min="7" max="7" width="16.41015625" style="5" customWidth="1"/>
    <col min="8" max="8" width="39.546875" style="15" customWidth="1"/>
    <col min="9" max="9" width="19.234375" style="10" customWidth="1"/>
    <col min="10" max="10" width="11.56640625" style="10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12" customWidth="1"/>
    <col min="18" max="18" width="36.58984375" style="3" customWidth="1"/>
    <col min="19" max="19" width="65.2421875" style="15" customWidth="1"/>
    <col min="28" max="28" width="17.75390625" customWidth="1"/>
    <col min="29" max="29" width="26.36328125" customWidth="1"/>
  </cols>
  <sheetData>
    <row r="1" spans="1:30" x14ac:dyDescent="0.2">
      <c r="A1" s="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7" t="s">
        <v>5</v>
      </c>
      <c r="G1" s="4" t="s">
        <v>6</v>
      </c>
      <c r="H1" s="14" t="s">
        <v>7</v>
      </c>
      <c r="I1" s="6" t="s">
        <v>8</v>
      </c>
      <c r="J1" s="6" t="s">
        <v>9</v>
      </c>
      <c r="K1" s="6" t="s">
        <v>10</v>
      </c>
      <c r="L1" s="1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2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ht="27.75" x14ac:dyDescent="0.2">
      <c r="A2" s="2">
        <v>45870</v>
      </c>
      <c r="B2" s="14" t="s">
        <v>538</v>
      </c>
      <c r="C2" s="14" t="s">
        <v>539</v>
      </c>
      <c r="D2" s="14" t="s">
        <v>540</v>
      </c>
      <c r="E2" s="14" t="s">
        <v>241</v>
      </c>
      <c r="F2" s="7">
        <v>120000</v>
      </c>
      <c r="G2" s="6"/>
      <c r="H2" s="14"/>
      <c r="I2" s="6"/>
      <c r="J2" s="6"/>
      <c r="K2" s="6"/>
      <c r="L2" s="14" t="s">
        <v>26</v>
      </c>
      <c r="M2" s="6">
        <f t="shared" ref="M2:M40" si="0">(F2+G2-I2-K2)</f>
        <v>120000</v>
      </c>
      <c r="N2" s="14" t="s">
        <v>21</v>
      </c>
      <c r="O2" s="6">
        <f t="shared" ref="O2:O40" si="1">IF(N2="X25%",M2*0.25,IF(N2="X50%",M2/2,""))</f>
        <v>60000</v>
      </c>
      <c r="P2" s="6">
        <f t="shared" ref="P2:P40" si="2">(M2/2+J2)</f>
        <v>60000</v>
      </c>
      <c r="Q2" s="14" t="s">
        <v>20</v>
      </c>
      <c r="R2" s="2">
        <v>45951</v>
      </c>
      <c r="S2" s="14" t="s">
        <v>733</v>
      </c>
      <c r="AB2" s="1" t="s">
        <v>26</v>
      </c>
      <c r="AC2" s="14" t="s">
        <v>28</v>
      </c>
      <c r="AD2" s="14" t="s">
        <v>29</v>
      </c>
    </row>
    <row r="3" spans="1:30" ht="27.75" x14ac:dyDescent="0.2">
      <c r="A3" s="2">
        <v>45873</v>
      </c>
      <c r="B3" s="14" t="s">
        <v>541</v>
      </c>
      <c r="C3" s="14" t="s">
        <v>542</v>
      </c>
      <c r="D3" s="14" t="s">
        <v>31</v>
      </c>
      <c r="E3" s="14" t="s">
        <v>543</v>
      </c>
      <c r="F3" s="7">
        <v>80000</v>
      </c>
      <c r="G3" s="6"/>
      <c r="H3" s="14"/>
      <c r="I3" s="6"/>
      <c r="J3" s="6"/>
      <c r="K3" s="6"/>
      <c r="L3" s="14" t="s">
        <v>26</v>
      </c>
      <c r="M3" s="6">
        <f t="shared" si="0"/>
        <v>80000</v>
      </c>
      <c r="N3" s="14" t="s">
        <v>21</v>
      </c>
      <c r="O3" s="6">
        <f t="shared" si="1"/>
        <v>40000</v>
      </c>
      <c r="P3" s="6">
        <f t="shared" si="2"/>
        <v>40000</v>
      </c>
      <c r="Q3" s="14" t="s">
        <v>20</v>
      </c>
      <c r="R3" s="2">
        <v>45951</v>
      </c>
      <c r="S3" s="14" t="s">
        <v>733</v>
      </c>
      <c r="AC3" s="14" t="s">
        <v>33</v>
      </c>
    </row>
    <row r="4" spans="1:30" ht="54.75" x14ac:dyDescent="0.2">
      <c r="A4" s="2">
        <v>45873</v>
      </c>
      <c r="B4" s="14" t="s">
        <v>544</v>
      </c>
      <c r="C4" s="14"/>
      <c r="D4" s="14" t="s">
        <v>57</v>
      </c>
      <c r="E4" s="14" t="s">
        <v>545</v>
      </c>
      <c r="F4" s="7">
        <v>80000</v>
      </c>
      <c r="G4" s="6"/>
      <c r="H4" s="14"/>
      <c r="I4" s="6"/>
      <c r="J4" s="6"/>
      <c r="K4" s="6"/>
      <c r="L4" s="14" t="s">
        <v>26</v>
      </c>
      <c r="M4" s="6">
        <f t="shared" si="0"/>
        <v>80000</v>
      </c>
      <c r="N4" s="14" t="s">
        <v>21</v>
      </c>
      <c r="O4" s="6">
        <f t="shared" si="1"/>
        <v>40000</v>
      </c>
      <c r="P4" s="6">
        <f t="shared" si="2"/>
        <v>40000</v>
      </c>
      <c r="Q4" s="14" t="s">
        <v>20</v>
      </c>
      <c r="R4" s="2">
        <v>45951</v>
      </c>
      <c r="S4" s="14" t="s">
        <v>734</v>
      </c>
      <c r="AC4" s="14" t="s">
        <v>35</v>
      </c>
    </row>
    <row r="5" spans="1:30" ht="27.75" x14ac:dyDescent="0.2">
      <c r="A5" s="2">
        <v>45874</v>
      </c>
      <c r="B5" s="14" t="s">
        <v>546</v>
      </c>
      <c r="C5" s="14"/>
      <c r="D5" s="14" t="s">
        <v>31</v>
      </c>
      <c r="E5" s="14" t="s">
        <v>547</v>
      </c>
      <c r="F5" s="7">
        <v>80000</v>
      </c>
      <c r="G5" s="6"/>
      <c r="H5" s="14"/>
      <c r="I5" s="6"/>
      <c r="J5" s="6"/>
      <c r="K5" s="6"/>
      <c r="L5" s="14" t="s">
        <v>26</v>
      </c>
      <c r="M5" s="6">
        <f t="shared" si="0"/>
        <v>80000</v>
      </c>
      <c r="N5" s="14" t="s">
        <v>21</v>
      </c>
      <c r="O5" s="6">
        <f t="shared" si="1"/>
        <v>40000</v>
      </c>
      <c r="P5" s="6">
        <f t="shared" si="2"/>
        <v>40000</v>
      </c>
      <c r="Q5" s="14" t="s">
        <v>20</v>
      </c>
      <c r="R5" s="2">
        <v>45875</v>
      </c>
      <c r="S5" s="14" t="s">
        <v>550</v>
      </c>
      <c r="AC5" s="14" t="s">
        <v>39</v>
      </c>
    </row>
    <row r="6" spans="1:30" ht="27.75" x14ac:dyDescent="0.2">
      <c r="A6" s="2">
        <v>45875</v>
      </c>
      <c r="B6" s="14" t="s">
        <v>546</v>
      </c>
      <c r="C6" s="14"/>
      <c r="D6" s="14" t="s">
        <v>31</v>
      </c>
      <c r="E6" s="14" t="s">
        <v>548</v>
      </c>
      <c r="G6" s="6">
        <v>800000</v>
      </c>
      <c r="H6" s="14"/>
      <c r="I6" s="6"/>
      <c r="J6" s="6"/>
      <c r="K6" s="6"/>
      <c r="L6" s="14" t="s">
        <v>19</v>
      </c>
      <c r="M6" s="6">
        <f t="shared" si="0"/>
        <v>800000</v>
      </c>
      <c r="N6" s="14" t="s">
        <v>21</v>
      </c>
      <c r="O6" s="6">
        <f t="shared" si="1"/>
        <v>400000</v>
      </c>
      <c r="P6" s="6">
        <f t="shared" si="2"/>
        <v>400000</v>
      </c>
      <c r="Q6" s="14" t="s">
        <v>20</v>
      </c>
      <c r="R6" s="2">
        <v>45875</v>
      </c>
      <c r="S6" s="14" t="s">
        <v>549</v>
      </c>
      <c r="AC6" s="14" t="s">
        <v>45</v>
      </c>
    </row>
    <row r="7" spans="1:30" ht="54.75" x14ac:dyDescent="0.2">
      <c r="A7" s="2">
        <v>45880</v>
      </c>
      <c r="B7" s="14" t="s">
        <v>303</v>
      </c>
      <c r="C7" s="14" t="s">
        <v>551</v>
      </c>
      <c r="D7" s="14" t="s">
        <v>219</v>
      </c>
      <c r="E7" s="14" t="s">
        <v>552</v>
      </c>
      <c r="G7" s="6">
        <v>266095</v>
      </c>
      <c r="H7" s="14"/>
      <c r="I7" s="6"/>
      <c r="J7" s="6">
        <v>53200</v>
      </c>
      <c r="K7" s="6"/>
      <c r="L7" s="14" t="s">
        <v>19</v>
      </c>
      <c r="M7" s="6">
        <f t="shared" si="0"/>
        <v>266095</v>
      </c>
      <c r="N7" s="14" t="s">
        <v>21</v>
      </c>
      <c r="O7" s="6">
        <f t="shared" si="1"/>
        <v>133047.5</v>
      </c>
      <c r="P7" s="6">
        <f t="shared" si="2"/>
        <v>186247.5</v>
      </c>
      <c r="Q7" s="14" t="s">
        <v>20</v>
      </c>
      <c r="R7" s="2">
        <v>45931</v>
      </c>
      <c r="S7" s="14" t="s">
        <v>694</v>
      </c>
      <c r="AC7" s="14" t="s">
        <v>50</v>
      </c>
    </row>
    <row r="8" spans="1:30" ht="27.75" x14ac:dyDescent="0.2">
      <c r="A8" s="2">
        <v>45880</v>
      </c>
      <c r="B8" s="14" t="s">
        <v>555</v>
      </c>
      <c r="C8" s="14" t="s">
        <v>556</v>
      </c>
      <c r="D8" s="14" t="s">
        <v>557</v>
      </c>
      <c r="E8" s="14" t="s">
        <v>558</v>
      </c>
      <c r="G8" s="6"/>
      <c r="H8" s="14"/>
      <c r="I8" s="6"/>
      <c r="J8" s="6"/>
      <c r="K8" s="6"/>
      <c r="L8" s="14"/>
      <c r="M8" s="6">
        <f t="shared" si="0"/>
        <v>0</v>
      </c>
      <c r="N8" s="14"/>
      <c r="O8" s="6" t="str">
        <f t="shared" si="1"/>
        <v/>
      </c>
      <c r="P8" s="6">
        <f t="shared" si="2"/>
        <v>0</v>
      </c>
      <c r="Q8" s="14" t="s">
        <v>39</v>
      </c>
      <c r="R8" s="2"/>
      <c r="S8" s="14"/>
    </row>
    <row r="9" spans="1:30" ht="41.25" x14ac:dyDescent="0.2">
      <c r="A9" s="2">
        <v>45881</v>
      </c>
      <c r="B9" s="14" t="s">
        <v>559</v>
      </c>
      <c r="C9" s="14" t="s">
        <v>560</v>
      </c>
      <c r="D9" s="14" t="s">
        <v>561</v>
      </c>
      <c r="E9" s="14" t="s">
        <v>562</v>
      </c>
      <c r="G9" s="6">
        <v>1431537</v>
      </c>
      <c r="H9" s="14"/>
      <c r="I9" s="6"/>
      <c r="J9" s="6">
        <v>300200</v>
      </c>
      <c r="K9" s="6"/>
      <c r="L9" s="14" t="s">
        <v>19</v>
      </c>
      <c r="M9" s="6">
        <f t="shared" si="0"/>
        <v>1431537</v>
      </c>
      <c r="N9" s="14" t="s">
        <v>29</v>
      </c>
      <c r="O9" s="6">
        <f t="shared" si="1"/>
        <v>357884.25</v>
      </c>
      <c r="P9" s="6">
        <f t="shared" si="2"/>
        <v>1015968.5</v>
      </c>
      <c r="Q9" s="14" t="s">
        <v>20</v>
      </c>
      <c r="R9" s="2">
        <v>45897</v>
      </c>
      <c r="S9" s="14" t="s">
        <v>632</v>
      </c>
    </row>
    <row r="10" spans="1:30" ht="27.75" x14ac:dyDescent="0.2">
      <c r="A10" s="2">
        <v>45882</v>
      </c>
      <c r="B10" s="14" t="s">
        <v>563</v>
      </c>
      <c r="C10" s="14"/>
      <c r="D10" s="14" t="s">
        <v>564</v>
      </c>
      <c r="E10" s="14" t="s">
        <v>565</v>
      </c>
      <c r="G10" s="6">
        <v>240000</v>
      </c>
      <c r="H10" s="14"/>
      <c r="I10" s="6"/>
      <c r="J10" s="6"/>
      <c r="K10" s="6"/>
      <c r="L10" s="14" t="s">
        <v>26</v>
      </c>
      <c r="M10" s="6">
        <f t="shared" si="0"/>
        <v>240000</v>
      </c>
      <c r="N10" s="14" t="s">
        <v>21</v>
      </c>
      <c r="O10" s="6">
        <f t="shared" si="1"/>
        <v>120000</v>
      </c>
      <c r="P10" s="6">
        <f t="shared" si="2"/>
        <v>120000</v>
      </c>
      <c r="Q10" s="14"/>
      <c r="R10" s="2"/>
      <c r="S10" s="14"/>
    </row>
    <row r="11" spans="1:30" x14ac:dyDescent="0.2">
      <c r="A11" s="2">
        <v>45882</v>
      </c>
      <c r="B11" s="14" t="s">
        <v>568</v>
      </c>
      <c r="C11" s="14" t="s">
        <v>566</v>
      </c>
      <c r="D11" s="14" t="s">
        <v>31</v>
      </c>
      <c r="E11" s="14" t="s">
        <v>567</v>
      </c>
      <c r="G11" s="6"/>
      <c r="H11" s="14"/>
      <c r="I11" s="6"/>
      <c r="J11" s="6"/>
      <c r="K11" s="6"/>
      <c r="L11" s="14"/>
      <c r="M11" s="6">
        <f t="shared" si="0"/>
        <v>0</v>
      </c>
      <c r="N11" s="14"/>
      <c r="O11" s="6" t="str">
        <f t="shared" si="1"/>
        <v/>
      </c>
      <c r="P11" s="6">
        <f t="shared" si="2"/>
        <v>0</v>
      </c>
      <c r="Q11" s="14" t="s">
        <v>28</v>
      </c>
      <c r="R11" s="2"/>
      <c r="S11" s="14"/>
    </row>
    <row r="12" spans="1:30" ht="27.75" x14ac:dyDescent="0.2">
      <c r="A12" s="2">
        <v>45884</v>
      </c>
      <c r="B12" s="14" t="s">
        <v>578</v>
      </c>
      <c r="C12" s="14" t="s">
        <v>575</v>
      </c>
      <c r="D12" s="14" t="s">
        <v>576</v>
      </c>
      <c r="E12" s="14" t="s">
        <v>577</v>
      </c>
      <c r="G12" s="6"/>
      <c r="H12" s="14"/>
      <c r="I12" s="6"/>
      <c r="J12" s="6"/>
      <c r="K12" s="6"/>
      <c r="L12" s="14"/>
      <c r="M12" s="6">
        <f t="shared" si="0"/>
        <v>0</v>
      </c>
      <c r="N12" s="14"/>
      <c r="O12" s="6" t="str">
        <f t="shared" si="1"/>
        <v/>
      </c>
      <c r="P12" s="6">
        <f t="shared" si="2"/>
        <v>0</v>
      </c>
      <c r="Q12" s="14" t="s">
        <v>39</v>
      </c>
      <c r="R12" s="2"/>
      <c r="S12" s="14"/>
    </row>
    <row r="13" spans="1:30" x14ac:dyDescent="0.2">
      <c r="A13" s="2">
        <v>45884</v>
      </c>
      <c r="B13" s="14" t="s">
        <v>579</v>
      </c>
      <c r="C13" s="14"/>
      <c r="D13" s="14">
        <v>501</v>
      </c>
      <c r="E13" s="14" t="s">
        <v>580</v>
      </c>
      <c r="G13" s="6">
        <v>70000</v>
      </c>
      <c r="H13" s="14"/>
      <c r="I13" s="6"/>
      <c r="J13" s="6"/>
      <c r="K13" s="6"/>
      <c r="L13" s="14" t="s">
        <v>26</v>
      </c>
      <c r="M13" s="6">
        <f t="shared" si="0"/>
        <v>70000</v>
      </c>
      <c r="N13" s="14" t="s">
        <v>21</v>
      </c>
      <c r="O13" s="6">
        <f t="shared" si="1"/>
        <v>35000</v>
      </c>
      <c r="P13" s="6">
        <f t="shared" si="2"/>
        <v>35000</v>
      </c>
      <c r="Q13" s="14"/>
      <c r="R13" s="2"/>
      <c r="S13" s="14"/>
    </row>
    <row r="14" spans="1:30" ht="27.75" x14ac:dyDescent="0.2">
      <c r="A14" s="2">
        <v>45888</v>
      </c>
      <c r="B14" s="14" t="s">
        <v>626</v>
      </c>
      <c r="C14" s="14" t="s">
        <v>581</v>
      </c>
      <c r="D14" s="14" t="s">
        <v>557</v>
      </c>
      <c r="E14" s="14" t="s">
        <v>582</v>
      </c>
      <c r="G14" s="6">
        <v>385667</v>
      </c>
      <c r="H14" s="14"/>
      <c r="I14" s="6"/>
      <c r="J14" s="6"/>
      <c r="K14" s="6"/>
      <c r="L14" s="14" t="s">
        <v>19</v>
      </c>
      <c r="M14" s="6">
        <f t="shared" si="0"/>
        <v>385667</v>
      </c>
      <c r="N14" s="14" t="s">
        <v>29</v>
      </c>
      <c r="O14" s="6">
        <f t="shared" si="1"/>
        <v>96416.75</v>
      </c>
      <c r="P14" s="6">
        <f t="shared" si="2"/>
        <v>192833.5</v>
      </c>
      <c r="Q14" s="14" t="s">
        <v>20</v>
      </c>
      <c r="R14" s="2">
        <v>45901</v>
      </c>
      <c r="S14" s="14" t="s">
        <v>623</v>
      </c>
    </row>
    <row r="15" spans="1:30" x14ac:dyDescent="0.2">
      <c r="A15" s="2">
        <v>45888</v>
      </c>
      <c r="B15" s="14" t="s">
        <v>583</v>
      </c>
      <c r="C15" s="14"/>
      <c r="D15" s="14" t="s">
        <v>31</v>
      </c>
      <c r="E15" s="14" t="s">
        <v>584</v>
      </c>
      <c r="G15" s="6">
        <v>456163</v>
      </c>
      <c r="H15" s="14"/>
      <c r="I15" s="6"/>
      <c r="J15" s="6">
        <v>91200</v>
      </c>
      <c r="K15" s="6"/>
      <c r="L15" s="14" t="s">
        <v>19</v>
      </c>
      <c r="M15" s="6">
        <f t="shared" si="0"/>
        <v>456163</v>
      </c>
      <c r="N15" s="14" t="s">
        <v>21</v>
      </c>
      <c r="O15" s="6">
        <f t="shared" si="1"/>
        <v>228081.5</v>
      </c>
      <c r="P15" s="6">
        <f t="shared" si="2"/>
        <v>319281.5</v>
      </c>
      <c r="Q15" s="14" t="s">
        <v>20</v>
      </c>
      <c r="R15" s="2">
        <v>45931</v>
      </c>
      <c r="S15" s="14" t="s">
        <v>694</v>
      </c>
    </row>
    <row r="16" spans="1:30" ht="27.75" x14ac:dyDescent="0.2">
      <c r="A16" s="2">
        <v>45888</v>
      </c>
      <c r="B16" s="14" t="s">
        <v>585</v>
      </c>
      <c r="C16" s="14"/>
      <c r="D16" s="14" t="s">
        <v>31</v>
      </c>
      <c r="E16" s="14" t="s">
        <v>586</v>
      </c>
      <c r="G16" s="6"/>
      <c r="H16" s="14"/>
      <c r="I16" s="6"/>
      <c r="J16" s="6"/>
      <c r="K16" s="6"/>
      <c r="L16" s="14" t="s">
        <v>19</v>
      </c>
      <c r="M16" s="6">
        <f t="shared" si="0"/>
        <v>0</v>
      </c>
      <c r="N16" s="14" t="s">
        <v>21</v>
      </c>
      <c r="O16" s="6">
        <f t="shared" si="1"/>
        <v>0</v>
      </c>
      <c r="P16" s="6">
        <f t="shared" si="2"/>
        <v>0</v>
      </c>
      <c r="Q16" s="14" t="s">
        <v>39</v>
      </c>
      <c r="R16" s="2"/>
      <c r="S16" s="14" t="s">
        <v>863</v>
      </c>
    </row>
    <row r="17" spans="1:19" ht="27.75" x14ac:dyDescent="0.2">
      <c r="A17" s="2">
        <v>45890</v>
      </c>
      <c r="B17" s="14" t="s">
        <v>587</v>
      </c>
      <c r="C17" s="14" t="s">
        <v>588</v>
      </c>
      <c r="D17" s="14" t="s">
        <v>557</v>
      </c>
      <c r="E17" s="14" t="s">
        <v>589</v>
      </c>
      <c r="F17" s="7">
        <v>80000</v>
      </c>
      <c r="G17" s="6"/>
      <c r="H17" s="14"/>
      <c r="I17" s="6"/>
      <c r="J17" s="6"/>
      <c r="K17" s="6"/>
      <c r="L17" s="14" t="s">
        <v>26</v>
      </c>
      <c r="M17" s="6">
        <f t="shared" si="0"/>
        <v>80000</v>
      </c>
      <c r="N17" s="14" t="s">
        <v>21</v>
      </c>
      <c r="O17" s="6">
        <f t="shared" si="1"/>
        <v>40000</v>
      </c>
      <c r="P17" s="6">
        <f t="shared" si="2"/>
        <v>40000</v>
      </c>
      <c r="Q17" s="14"/>
      <c r="R17" s="2"/>
      <c r="S17" s="14"/>
    </row>
    <row r="18" spans="1:19" ht="27.75" x14ac:dyDescent="0.2">
      <c r="A18" s="2">
        <v>45890</v>
      </c>
      <c r="B18" s="14" t="s">
        <v>284</v>
      </c>
      <c r="C18" s="14" t="s">
        <v>592</v>
      </c>
      <c r="D18" s="14" t="s">
        <v>111</v>
      </c>
      <c r="E18" s="14" t="s">
        <v>593</v>
      </c>
      <c r="F18" s="7">
        <v>80000</v>
      </c>
      <c r="G18" s="6"/>
      <c r="H18" s="14"/>
      <c r="I18" s="6"/>
      <c r="J18" s="6"/>
      <c r="K18" s="6"/>
      <c r="L18" s="14" t="s">
        <v>26</v>
      </c>
      <c r="M18" s="6">
        <f t="shared" si="0"/>
        <v>80000</v>
      </c>
      <c r="N18" s="14" t="s">
        <v>21</v>
      </c>
      <c r="O18" s="6">
        <f t="shared" si="1"/>
        <v>40000</v>
      </c>
      <c r="P18" s="6">
        <f t="shared" si="2"/>
        <v>40000</v>
      </c>
      <c r="Q18" s="14" t="s">
        <v>20</v>
      </c>
      <c r="R18" s="2">
        <v>45890</v>
      </c>
      <c r="S18" s="14" t="s">
        <v>594</v>
      </c>
    </row>
    <row r="19" spans="1:19" ht="27.75" x14ac:dyDescent="0.2">
      <c r="A19" s="2">
        <v>45891</v>
      </c>
      <c r="B19" s="14" t="s">
        <v>595</v>
      </c>
      <c r="C19" s="14" t="s">
        <v>596</v>
      </c>
      <c r="D19" s="14" t="s">
        <v>557</v>
      </c>
      <c r="E19" s="14" t="s">
        <v>597</v>
      </c>
      <c r="G19" s="6"/>
      <c r="H19" s="14"/>
      <c r="I19" s="6"/>
      <c r="J19" s="6"/>
      <c r="K19" s="6"/>
      <c r="L19" s="14"/>
      <c r="M19" s="6">
        <f t="shared" si="0"/>
        <v>0</v>
      </c>
      <c r="N19" s="14"/>
      <c r="O19" s="6" t="str">
        <f t="shared" si="1"/>
        <v/>
      </c>
      <c r="P19" s="6">
        <f t="shared" si="2"/>
        <v>0</v>
      </c>
      <c r="Q19" s="14" t="s">
        <v>33</v>
      </c>
      <c r="R19" s="2"/>
      <c r="S19" s="14"/>
    </row>
    <row r="20" spans="1:19" ht="27.75" x14ac:dyDescent="0.2">
      <c r="A20" s="2">
        <v>45894</v>
      </c>
      <c r="B20" s="14" t="s">
        <v>598</v>
      </c>
      <c r="C20" s="14"/>
      <c r="D20" s="14" t="s">
        <v>599</v>
      </c>
      <c r="E20" s="14" t="s">
        <v>600</v>
      </c>
      <c r="F20" s="7">
        <v>80000</v>
      </c>
      <c r="G20" s="6"/>
      <c r="H20" s="14"/>
      <c r="I20" s="6"/>
      <c r="J20" s="6"/>
      <c r="K20" s="6"/>
      <c r="L20" s="14" t="s">
        <v>19</v>
      </c>
      <c r="M20" s="6">
        <f t="shared" si="0"/>
        <v>80000</v>
      </c>
      <c r="N20" s="14" t="s">
        <v>21</v>
      </c>
      <c r="O20" s="6">
        <f t="shared" si="1"/>
        <v>40000</v>
      </c>
      <c r="P20" s="6">
        <f t="shared" si="2"/>
        <v>40000</v>
      </c>
      <c r="Q20" s="14" t="s">
        <v>20</v>
      </c>
      <c r="R20" s="2">
        <v>45894</v>
      </c>
      <c r="S20" s="14" t="s">
        <v>601</v>
      </c>
    </row>
    <row r="21" spans="1:19" ht="41.25" x14ac:dyDescent="0.2">
      <c r="A21" s="2">
        <v>45895</v>
      </c>
      <c r="B21" s="14" t="s">
        <v>602</v>
      </c>
      <c r="C21" s="14" t="s">
        <v>603</v>
      </c>
      <c r="D21" s="14" t="s">
        <v>604</v>
      </c>
      <c r="E21" s="14" t="s">
        <v>605</v>
      </c>
      <c r="G21" s="6"/>
      <c r="H21" s="14"/>
      <c r="I21" s="6"/>
      <c r="J21" s="6"/>
      <c r="K21" s="6"/>
      <c r="L21" s="14"/>
      <c r="M21" s="6">
        <f t="shared" si="0"/>
        <v>0</v>
      </c>
      <c r="N21" s="14"/>
      <c r="O21" s="6" t="str">
        <f t="shared" si="1"/>
        <v/>
      </c>
      <c r="P21" s="6">
        <f t="shared" si="2"/>
        <v>0</v>
      </c>
      <c r="Q21" s="14" t="s">
        <v>39</v>
      </c>
      <c r="R21" s="2"/>
      <c r="S21" s="14"/>
    </row>
    <row r="22" spans="1:19" ht="54.75" x14ac:dyDescent="0.2">
      <c r="A22" s="2">
        <v>45895</v>
      </c>
      <c r="B22" s="14" t="s">
        <v>606</v>
      </c>
      <c r="C22" s="14" t="s">
        <v>607</v>
      </c>
      <c r="D22" s="14" t="s">
        <v>111</v>
      </c>
      <c r="E22" s="14" t="s">
        <v>608</v>
      </c>
      <c r="G22" s="6">
        <v>798286</v>
      </c>
      <c r="H22" s="14" t="s">
        <v>609</v>
      </c>
      <c r="I22" s="6">
        <v>62000</v>
      </c>
      <c r="J22" s="6"/>
      <c r="K22" s="6"/>
      <c r="L22" s="14" t="s">
        <v>19</v>
      </c>
      <c r="M22" s="6">
        <f t="shared" si="0"/>
        <v>736286</v>
      </c>
      <c r="N22" s="14" t="s">
        <v>21</v>
      </c>
      <c r="O22" s="6">
        <f t="shared" si="1"/>
        <v>368143</v>
      </c>
      <c r="P22" s="6">
        <f t="shared" si="2"/>
        <v>368143</v>
      </c>
      <c r="Q22" s="14" t="s">
        <v>20</v>
      </c>
      <c r="R22" s="2">
        <v>45911</v>
      </c>
      <c r="S22" s="14" t="s">
        <v>656</v>
      </c>
    </row>
    <row r="23" spans="1:19" ht="54.75" x14ac:dyDescent="0.2">
      <c r="A23" s="2">
        <v>45896</v>
      </c>
      <c r="B23" s="14" t="s">
        <v>610</v>
      </c>
      <c r="C23" s="14" t="s">
        <v>612</v>
      </c>
      <c r="D23" s="14" t="s">
        <v>611</v>
      </c>
      <c r="E23" s="14" t="s">
        <v>613</v>
      </c>
      <c r="G23" s="6">
        <v>427653</v>
      </c>
      <c r="H23" s="14" t="s">
        <v>614</v>
      </c>
      <c r="I23" s="6">
        <v>22800</v>
      </c>
      <c r="J23" s="6"/>
      <c r="K23" s="6"/>
      <c r="L23" s="14" t="s">
        <v>19</v>
      </c>
      <c r="M23" s="6">
        <f t="shared" si="0"/>
        <v>404853</v>
      </c>
      <c r="N23" s="14" t="s">
        <v>21</v>
      </c>
      <c r="O23" s="6">
        <f t="shared" si="1"/>
        <v>202426.5</v>
      </c>
      <c r="P23" s="6">
        <f t="shared" si="2"/>
        <v>202426.5</v>
      </c>
      <c r="Q23" s="14" t="s">
        <v>20</v>
      </c>
      <c r="R23" s="2">
        <v>45901</v>
      </c>
      <c r="S23" s="14" t="s">
        <v>622</v>
      </c>
    </row>
    <row r="24" spans="1:19" ht="27.75" x14ac:dyDescent="0.2">
      <c r="A24" s="2">
        <v>45898</v>
      </c>
      <c r="B24" s="14" t="s">
        <v>615</v>
      </c>
      <c r="C24" s="14" t="s">
        <v>616</v>
      </c>
      <c r="D24" s="14" t="s">
        <v>31</v>
      </c>
      <c r="E24" s="14" t="s">
        <v>617</v>
      </c>
      <c r="F24" s="7">
        <v>80000</v>
      </c>
      <c r="G24" s="6"/>
      <c r="H24" s="14"/>
      <c r="I24" s="6"/>
      <c r="J24" s="6">
        <v>19500</v>
      </c>
      <c r="K24" s="6"/>
      <c r="L24" s="14" t="s">
        <v>26</v>
      </c>
      <c r="M24" s="6">
        <f t="shared" si="0"/>
        <v>80000</v>
      </c>
      <c r="N24" s="14" t="s">
        <v>21</v>
      </c>
      <c r="O24" s="6">
        <f t="shared" si="1"/>
        <v>40000</v>
      </c>
      <c r="P24" s="6">
        <f t="shared" si="2"/>
        <v>59500</v>
      </c>
      <c r="Q24" s="14" t="s">
        <v>20</v>
      </c>
      <c r="R24" s="2">
        <v>45901</v>
      </c>
      <c r="S24" s="14" t="s">
        <v>633</v>
      </c>
    </row>
    <row r="25" spans="1:19" ht="27.75" x14ac:dyDescent="0.2">
      <c r="A25" s="2">
        <v>45898</v>
      </c>
      <c r="B25" s="14" t="s">
        <v>618</v>
      </c>
      <c r="C25" s="14" t="s">
        <v>619</v>
      </c>
      <c r="D25" s="14" t="s">
        <v>636</v>
      </c>
      <c r="E25" s="14" t="s">
        <v>620</v>
      </c>
      <c r="F25" s="7">
        <v>80000</v>
      </c>
      <c r="G25" s="6"/>
      <c r="H25" s="14"/>
      <c r="I25" s="6"/>
      <c r="J25" s="6"/>
      <c r="K25" s="6"/>
      <c r="L25" s="14" t="s">
        <v>26</v>
      </c>
      <c r="M25" s="6">
        <f t="shared" si="0"/>
        <v>80000</v>
      </c>
      <c r="N25" s="14" t="s">
        <v>21</v>
      </c>
      <c r="O25" s="6">
        <f t="shared" si="1"/>
        <v>40000</v>
      </c>
      <c r="P25" s="6">
        <f t="shared" si="2"/>
        <v>40000</v>
      </c>
      <c r="Q25" s="14" t="s">
        <v>20</v>
      </c>
      <c r="R25" s="2">
        <v>45901</v>
      </c>
      <c r="S25" s="14" t="s">
        <v>633</v>
      </c>
    </row>
    <row r="26" spans="1:19" ht="27.75" x14ac:dyDescent="0.2">
      <c r="A26" s="2">
        <v>45898</v>
      </c>
      <c r="B26" s="14" t="s">
        <v>625</v>
      </c>
      <c r="C26" s="14" t="s">
        <v>624</v>
      </c>
      <c r="D26" s="14" t="s">
        <v>557</v>
      </c>
      <c r="E26" s="14" t="s">
        <v>621</v>
      </c>
      <c r="G26" s="6">
        <v>300000</v>
      </c>
      <c r="H26" s="14"/>
      <c r="I26" s="6"/>
      <c r="J26" s="6"/>
      <c r="K26" s="6"/>
      <c r="L26" s="14" t="s">
        <v>19</v>
      </c>
      <c r="M26" s="6">
        <f t="shared" si="0"/>
        <v>300000</v>
      </c>
      <c r="N26" s="14" t="s">
        <v>21</v>
      </c>
      <c r="O26" s="6">
        <f t="shared" si="1"/>
        <v>150000</v>
      </c>
      <c r="P26" s="6">
        <f t="shared" si="2"/>
        <v>150000</v>
      </c>
      <c r="Q26" s="14" t="s">
        <v>20</v>
      </c>
      <c r="R26" s="2">
        <v>45915</v>
      </c>
      <c r="S26" s="14" t="s">
        <v>665</v>
      </c>
    </row>
    <row r="27" spans="1:19" x14ac:dyDescent="0.2">
      <c r="A27" s="2"/>
      <c r="B27" s="14"/>
      <c r="C27" s="14"/>
      <c r="D27" s="14"/>
      <c r="E27" s="14"/>
      <c r="G27" s="6"/>
      <c r="H27" s="14"/>
      <c r="I27" s="6"/>
      <c r="J27" s="6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2"/>
      <c r="S27" s="14"/>
    </row>
    <row r="28" spans="1:19" x14ac:dyDescent="0.2">
      <c r="A28" s="2"/>
      <c r="B28" s="14"/>
      <c r="C28" s="14"/>
      <c r="D28" s="14"/>
      <c r="E28" s="14"/>
      <c r="G28" s="6"/>
      <c r="H28" s="14"/>
      <c r="I28" s="6"/>
      <c r="J28" s="6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 t="shared" si="2"/>
        <v>0</v>
      </c>
      <c r="Q28" s="14"/>
      <c r="R28" s="2"/>
      <c r="S28" s="14"/>
    </row>
    <row r="29" spans="1:19" x14ac:dyDescent="0.2">
      <c r="A29" s="2"/>
      <c r="B29" s="14"/>
      <c r="C29" s="14"/>
      <c r="D29" s="14"/>
      <c r="E29" s="14"/>
      <c r="G29" s="6"/>
      <c r="H29" s="14"/>
      <c r="I29" s="6"/>
      <c r="J29" s="6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2"/>
      <c r="S29" s="14"/>
    </row>
    <row r="30" spans="1:19" x14ac:dyDescent="0.2">
      <c r="A30" s="2"/>
      <c r="B30" s="14"/>
      <c r="C30" s="14"/>
      <c r="D30" s="14"/>
      <c r="E30" s="14"/>
      <c r="G30" s="6"/>
      <c r="H30" s="14"/>
      <c r="I30" s="6"/>
      <c r="J30" s="6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2"/>
      <c r="S30" s="14"/>
    </row>
    <row r="31" spans="1:19" x14ac:dyDescent="0.2">
      <c r="A31" s="2"/>
      <c r="B31" s="14"/>
      <c r="C31" s="14"/>
      <c r="D31" s="14"/>
      <c r="E31" s="14"/>
      <c r="G31" s="6"/>
      <c r="H31" s="14"/>
      <c r="I31" s="6"/>
      <c r="J31" s="6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2"/>
      <c r="S31" s="14"/>
    </row>
    <row r="32" spans="1:19" x14ac:dyDescent="0.2">
      <c r="A32" s="2"/>
      <c r="B32" s="14"/>
      <c r="C32" s="14"/>
      <c r="D32" s="14"/>
      <c r="E32" s="14"/>
      <c r="G32" s="6"/>
      <c r="H32" s="14"/>
      <c r="I32" s="6"/>
      <c r="J32" s="6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2"/>
      <c r="S32" s="14"/>
    </row>
    <row r="33" spans="1:19" x14ac:dyDescent="0.2">
      <c r="A33" s="2"/>
      <c r="B33" s="14"/>
      <c r="C33" s="14"/>
      <c r="D33" s="14"/>
      <c r="E33" s="14"/>
      <c r="G33" s="6"/>
      <c r="H33" s="14"/>
      <c r="I33" s="6"/>
      <c r="J33" s="6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2"/>
      <c r="S33" s="14"/>
    </row>
    <row r="34" spans="1:19" x14ac:dyDescent="0.2">
      <c r="A34" s="2"/>
      <c r="B34" s="14"/>
      <c r="C34" s="14"/>
      <c r="D34" s="14"/>
      <c r="E34" s="14"/>
      <c r="G34" s="6"/>
      <c r="H34" s="14"/>
      <c r="I34" s="6"/>
      <c r="J34" s="6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2"/>
      <c r="S34" s="14"/>
    </row>
    <row r="35" spans="1:19" x14ac:dyDescent="0.2">
      <c r="A35" s="2"/>
      <c r="B35" s="14"/>
      <c r="C35" s="14"/>
      <c r="D35" s="14"/>
      <c r="E35" s="14"/>
      <c r="G35" s="6"/>
      <c r="H35" s="14"/>
      <c r="I35" s="6"/>
      <c r="J35" s="6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2"/>
      <c r="S35" s="14"/>
    </row>
    <row r="36" spans="1:19" x14ac:dyDescent="0.2">
      <c r="A36" s="2"/>
      <c r="B36" s="14"/>
      <c r="C36" s="14"/>
      <c r="D36" s="14"/>
      <c r="E36" s="14"/>
      <c r="G36" s="6"/>
      <c r="H36" s="14"/>
      <c r="I36" s="6"/>
      <c r="J36" s="6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2"/>
      <c r="S36" s="14"/>
    </row>
    <row r="37" spans="1:19" x14ac:dyDescent="0.2">
      <c r="A37" s="2"/>
      <c r="B37" s="14"/>
      <c r="C37" s="14"/>
      <c r="D37" s="14"/>
      <c r="E37" s="14"/>
      <c r="G37" s="6"/>
      <c r="H37" s="14"/>
      <c r="I37" s="6"/>
      <c r="J37" s="6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2"/>
      <c r="S37" s="14"/>
    </row>
    <row r="38" spans="1:19" x14ac:dyDescent="0.2">
      <c r="A38" s="2"/>
      <c r="B38" s="14"/>
      <c r="C38" s="14"/>
      <c r="D38" s="14"/>
      <c r="E38" s="14"/>
      <c r="G38" s="6"/>
      <c r="H38" s="14"/>
      <c r="I38" s="6"/>
      <c r="J38" s="6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2"/>
      <c r="S38" s="14"/>
    </row>
    <row r="39" spans="1:19" x14ac:dyDescent="0.2">
      <c r="A39" s="2"/>
      <c r="B39" s="14"/>
      <c r="C39" s="14"/>
      <c r="D39" s="14"/>
      <c r="E39" s="14"/>
      <c r="G39" s="6"/>
      <c r="H39" s="14"/>
      <c r="I39" s="6"/>
      <c r="J39" s="6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2"/>
      <c r="S39" s="14"/>
    </row>
    <row r="40" spans="1:19" x14ac:dyDescent="0.2">
      <c r="A40" s="2"/>
      <c r="B40" s="14"/>
      <c r="C40" s="14"/>
      <c r="D40" s="14"/>
      <c r="E40" s="14"/>
      <c r="G40" s="6"/>
      <c r="H40" s="14"/>
      <c r="I40" s="6"/>
      <c r="J40" s="6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2"/>
      <c r="S40" s="14"/>
    </row>
    <row r="41" spans="1:19" x14ac:dyDescent="0.2">
      <c r="A41" s="3" t="s">
        <v>119</v>
      </c>
      <c r="F41" s="13"/>
      <c r="S41" s="15">
        <f>SUBTOTAL(103,Tabla1456789[[NOTAS ]])</f>
        <v>17</v>
      </c>
    </row>
  </sheetData>
  <conditionalFormatting sqref="A2:S41">
    <cfRule type="expression" dxfId="45" priority="1" stopIfTrue="1">
      <formula>$Q2="YA RELACIONADO"</formula>
    </cfRule>
    <cfRule type="expression" dxfId="44" priority="2" stopIfTrue="1">
      <formula>$Q2="COTIZACIÓN"</formula>
    </cfRule>
    <cfRule type="expression" dxfId="43" priority="3" stopIfTrue="1">
      <formula>$Q2="NO PAGARON DOMICILIO"</formula>
    </cfRule>
    <cfRule type="expression" dxfId="42" priority="4" stopIfTrue="1">
      <formula>$Q2="NO SE COBRA DOMICILIO"</formula>
    </cfRule>
    <cfRule type="expression" dxfId="41" priority="5" stopIfTrue="1">
      <formula>$Q2="GARANTIA"</formula>
    </cfRule>
    <cfRule type="expression" dxfId="40" priority="6" stopIfTrue="1">
      <formula>$Q2="CANCELADO"</formula>
    </cfRule>
  </conditionalFormatting>
  <dataValidations count="3">
    <dataValidation type="list" allowBlank="1" showInputMessage="1" showErrorMessage="1" sqref="Q2:Q40" xr:uid="{F0084EDD-BF53-49E6-BAD7-31BB437E4206}">
      <formula1>$AC$1:$AC$7</formula1>
    </dataValidation>
    <dataValidation type="list" allowBlank="1" showInputMessage="1" showErrorMessage="1" sqref="L2:L40" xr:uid="{97921CFE-FAC4-4C3D-9C0B-91AEF382CBBA}">
      <formula1>$AB$1:$AB$2</formula1>
    </dataValidation>
    <dataValidation type="list" allowBlank="1" showInputMessage="1" showErrorMessage="1" sqref="N2:N40" xr:uid="{44AC7A18-7116-4D20-961F-05581C65ABF6}">
      <formula1>$AD$1:$AD$2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2389-D9D0-4A5E-960E-BEC69AD05582}">
  <sheetPr codeName="Hoja9">
    <tabColor rgb="FFC00000"/>
  </sheetPr>
  <dimension ref="A1:AD41"/>
  <sheetViews>
    <sheetView topLeftCell="B10" zoomScaleNormal="100" workbookViewId="0">
      <selection activeCell="B20" sqref="B20"/>
    </sheetView>
  </sheetViews>
  <sheetFormatPr defaultColWidth="10.76171875" defaultRowHeight="15" x14ac:dyDescent="0.2"/>
  <cols>
    <col min="1" max="1" width="30.9375" style="3" customWidth="1"/>
    <col min="2" max="2" width="27.7109375" style="15" customWidth="1"/>
    <col min="3" max="3" width="22.59765625" style="15" customWidth="1"/>
    <col min="4" max="4" width="17.484375" customWidth="1"/>
    <col min="5" max="5" width="51.65625" style="15" customWidth="1"/>
    <col min="6" max="6" width="17.08203125" style="7" customWidth="1"/>
    <col min="7" max="7" width="16.41015625" style="18" customWidth="1"/>
    <col min="8" max="8" width="43.8515625" style="15" customWidth="1"/>
    <col min="9" max="9" width="19.234375" style="18" customWidth="1"/>
    <col min="10" max="10" width="11.56640625" style="18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12" customWidth="1"/>
    <col min="18" max="18" width="36.58984375" style="3" customWidth="1"/>
    <col min="19" max="19" width="50.04296875" style="15" customWidth="1"/>
    <col min="28" max="28" width="17.75390625" customWidth="1"/>
    <col min="29" max="29" width="26.36328125" customWidth="1"/>
  </cols>
  <sheetData>
    <row r="1" spans="1:30" x14ac:dyDescent="0.2">
      <c r="A1" s="2" t="s">
        <v>0</v>
      </c>
      <c r="B1" s="14" t="s">
        <v>1</v>
      </c>
      <c r="C1" s="14" t="s">
        <v>2</v>
      </c>
      <c r="D1" s="1" t="s">
        <v>3</v>
      </c>
      <c r="E1" s="14" t="s">
        <v>4</v>
      </c>
      <c r="F1" s="7" t="s">
        <v>5</v>
      </c>
      <c r="G1" s="17" t="s">
        <v>6</v>
      </c>
      <c r="H1" s="14" t="s">
        <v>7</v>
      </c>
      <c r="I1" s="17" t="s">
        <v>8</v>
      </c>
      <c r="J1" s="17" t="s">
        <v>9</v>
      </c>
      <c r="K1" s="6" t="s">
        <v>10</v>
      </c>
      <c r="L1" s="1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2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ht="41.25" x14ac:dyDescent="0.2">
      <c r="A2" s="2">
        <v>45902</v>
      </c>
      <c r="B2" s="14" t="s">
        <v>627</v>
      </c>
      <c r="C2" s="14" t="s">
        <v>628</v>
      </c>
      <c r="D2" s="1" t="s">
        <v>629</v>
      </c>
      <c r="E2" s="14" t="s">
        <v>630</v>
      </c>
      <c r="G2" s="17">
        <v>380000</v>
      </c>
      <c r="H2" s="14" t="s">
        <v>631</v>
      </c>
      <c r="I2" s="17">
        <v>69100</v>
      </c>
      <c r="J2" s="17">
        <v>75200</v>
      </c>
      <c r="K2" s="6"/>
      <c r="L2" s="14" t="s">
        <v>26</v>
      </c>
      <c r="M2" s="6">
        <f t="shared" ref="M2:M40" si="0">(F2+G2-I2-K2)</f>
        <v>310900</v>
      </c>
      <c r="N2" s="14" t="s">
        <v>21</v>
      </c>
      <c r="O2" s="6">
        <f t="shared" ref="O2:O40" si="1">IF(N2="X25%",M2*0.25,IF(N2="X50%",M2/2,""))</f>
        <v>155450</v>
      </c>
      <c r="P2" s="6">
        <f t="shared" ref="P2:P40" si="2">(M2/2+J2)</f>
        <v>230650</v>
      </c>
      <c r="Q2" s="14" t="s">
        <v>20</v>
      </c>
      <c r="R2" s="2">
        <v>45902</v>
      </c>
      <c r="S2" s="14" t="s">
        <v>634</v>
      </c>
      <c r="AB2" s="1" t="s">
        <v>26</v>
      </c>
      <c r="AC2" s="14" t="s">
        <v>28</v>
      </c>
      <c r="AD2" s="14" t="s">
        <v>29</v>
      </c>
    </row>
    <row r="3" spans="1:30" ht="27.75" x14ac:dyDescent="0.2">
      <c r="A3" s="2">
        <v>45904</v>
      </c>
      <c r="B3" s="14" t="s">
        <v>635</v>
      </c>
      <c r="C3" s="14" t="s">
        <v>637</v>
      </c>
      <c r="D3" s="1" t="s">
        <v>636</v>
      </c>
      <c r="E3" s="14" t="s">
        <v>638</v>
      </c>
      <c r="G3" s="17">
        <v>900000</v>
      </c>
      <c r="H3" s="14"/>
      <c r="I3" s="17"/>
      <c r="J3" s="17"/>
      <c r="K3" s="6"/>
      <c r="L3" s="14" t="s">
        <v>19</v>
      </c>
      <c r="M3" s="6">
        <f t="shared" si="0"/>
        <v>900000</v>
      </c>
      <c r="N3" s="14" t="s">
        <v>21</v>
      </c>
      <c r="O3" s="6">
        <f t="shared" si="1"/>
        <v>450000</v>
      </c>
      <c r="P3" s="6">
        <f t="shared" si="2"/>
        <v>450000</v>
      </c>
      <c r="Q3" s="14" t="s">
        <v>20</v>
      </c>
      <c r="R3" s="2">
        <v>45905</v>
      </c>
      <c r="S3" s="14" t="s">
        <v>643</v>
      </c>
      <c r="AC3" s="14" t="s">
        <v>33</v>
      </c>
    </row>
    <row r="4" spans="1:30" ht="27.75" x14ac:dyDescent="0.2">
      <c r="A4" s="2">
        <v>45905</v>
      </c>
      <c r="B4" s="14" t="s">
        <v>639</v>
      </c>
      <c r="C4" s="14" t="s">
        <v>640</v>
      </c>
      <c r="D4" s="1" t="s">
        <v>219</v>
      </c>
      <c r="E4" s="14" t="s">
        <v>641</v>
      </c>
      <c r="F4" s="7">
        <v>80000</v>
      </c>
      <c r="G4" s="17"/>
      <c r="H4" s="14"/>
      <c r="I4" s="17"/>
      <c r="J4" s="17"/>
      <c r="K4" s="6"/>
      <c r="L4" s="14" t="s">
        <v>19</v>
      </c>
      <c r="M4" s="6">
        <f t="shared" si="0"/>
        <v>80000</v>
      </c>
      <c r="N4" s="14" t="s">
        <v>21</v>
      </c>
      <c r="O4" s="6">
        <f t="shared" si="1"/>
        <v>40000</v>
      </c>
      <c r="P4" s="6">
        <f t="shared" si="2"/>
        <v>40000</v>
      </c>
      <c r="Q4" s="14" t="s">
        <v>20</v>
      </c>
      <c r="R4" s="2">
        <v>45926</v>
      </c>
      <c r="S4" s="14" t="s">
        <v>643</v>
      </c>
      <c r="AC4" s="14" t="s">
        <v>35</v>
      </c>
    </row>
    <row r="5" spans="1:30" ht="41.25" x14ac:dyDescent="0.2">
      <c r="A5" s="2">
        <v>45909</v>
      </c>
      <c r="B5" s="14" t="s">
        <v>644</v>
      </c>
      <c r="C5" s="14" t="s">
        <v>645</v>
      </c>
      <c r="D5" s="1" t="s">
        <v>219</v>
      </c>
      <c r="E5" s="14" t="s">
        <v>646</v>
      </c>
      <c r="G5" s="17">
        <v>1197428</v>
      </c>
      <c r="H5" s="14" t="s">
        <v>647</v>
      </c>
      <c r="I5" s="17">
        <v>156400</v>
      </c>
      <c r="J5" s="17">
        <v>239400</v>
      </c>
      <c r="K5" s="6"/>
      <c r="L5" s="14" t="s">
        <v>19</v>
      </c>
      <c r="M5" s="6">
        <f t="shared" si="0"/>
        <v>1041028</v>
      </c>
      <c r="N5" s="14" t="s">
        <v>21</v>
      </c>
      <c r="O5" s="6">
        <f t="shared" si="1"/>
        <v>520514</v>
      </c>
      <c r="P5" s="6">
        <f t="shared" si="2"/>
        <v>759914</v>
      </c>
      <c r="Q5" s="14" t="s">
        <v>20</v>
      </c>
      <c r="R5" s="2">
        <v>45915</v>
      </c>
      <c r="S5" s="14" t="s">
        <v>666</v>
      </c>
      <c r="AC5" s="14" t="s">
        <v>39</v>
      </c>
    </row>
    <row r="6" spans="1:30" ht="41.25" x14ac:dyDescent="0.2">
      <c r="A6" s="2">
        <v>45911</v>
      </c>
      <c r="B6" s="14" t="s">
        <v>649</v>
      </c>
      <c r="C6" s="14" t="s">
        <v>650</v>
      </c>
      <c r="D6" s="1" t="s">
        <v>651</v>
      </c>
      <c r="E6" s="14" t="s">
        <v>652</v>
      </c>
      <c r="G6" s="17">
        <v>380000</v>
      </c>
      <c r="H6" s="14"/>
      <c r="I6" s="17"/>
      <c r="J6" s="17">
        <v>72200</v>
      </c>
      <c r="K6" s="6"/>
      <c r="L6" s="14" t="s">
        <v>26</v>
      </c>
      <c r="M6" s="6">
        <f t="shared" si="0"/>
        <v>380000</v>
      </c>
      <c r="N6" s="14" t="s">
        <v>21</v>
      </c>
      <c r="O6" s="6">
        <f t="shared" si="1"/>
        <v>190000</v>
      </c>
      <c r="P6" s="6">
        <f t="shared" si="2"/>
        <v>262200</v>
      </c>
      <c r="Q6" s="14" t="s">
        <v>20</v>
      </c>
      <c r="R6" s="2">
        <v>45911</v>
      </c>
      <c r="S6" s="14" t="s">
        <v>657</v>
      </c>
      <c r="AC6" s="14" t="s">
        <v>45</v>
      </c>
    </row>
    <row r="7" spans="1:30" ht="41.25" x14ac:dyDescent="0.2">
      <c r="A7" s="2">
        <v>45911</v>
      </c>
      <c r="B7" s="14" t="s">
        <v>653</v>
      </c>
      <c r="C7" s="14" t="s">
        <v>654</v>
      </c>
      <c r="D7" s="1" t="s">
        <v>31</v>
      </c>
      <c r="E7" s="14" t="s">
        <v>655</v>
      </c>
      <c r="G7" s="17">
        <v>160000</v>
      </c>
      <c r="H7" s="14"/>
      <c r="I7" s="17"/>
      <c r="J7" s="17"/>
      <c r="K7" s="6"/>
      <c r="L7" s="14" t="s">
        <v>26</v>
      </c>
      <c r="M7" s="6">
        <f t="shared" si="0"/>
        <v>160000</v>
      </c>
      <c r="N7" s="14" t="s">
        <v>21</v>
      </c>
      <c r="O7" s="6">
        <f t="shared" si="1"/>
        <v>80000</v>
      </c>
      <c r="P7" s="6">
        <f t="shared" si="2"/>
        <v>80000</v>
      </c>
      <c r="Q7" s="14" t="s">
        <v>20</v>
      </c>
      <c r="R7" s="2">
        <v>45911</v>
      </c>
      <c r="S7" s="14" t="s">
        <v>657</v>
      </c>
      <c r="AC7" s="14" t="s">
        <v>50</v>
      </c>
    </row>
    <row r="8" spans="1:30" x14ac:dyDescent="0.2">
      <c r="A8" s="2">
        <v>45912</v>
      </c>
      <c r="B8" s="14" t="s">
        <v>658</v>
      </c>
      <c r="C8" s="14" t="s">
        <v>659</v>
      </c>
      <c r="D8" s="1" t="s">
        <v>660</v>
      </c>
      <c r="E8" s="14" t="s">
        <v>667</v>
      </c>
      <c r="G8" s="17"/>
      <c r="H8" s="14"/>
      <c r="I8" s="17"/>
      <c r="J8" s="17"/>
      <c r="K8" s="6"/>
      <c r="L8" s="14"/>
      <c r="M8" s="6">
        <f>(F8+G8-I8-K8)</f>
        <v>0</v>
      </c>
      <c r="N8" s="14" t="s">
        <v>21</v>
      </c>
      <c r="O8" s="6">
        <f t="shared" si="1"/>
        <v>0</v>
      </c>
      <c r="P8" s="6">
        <f t="shared" si="2"/>
        <v>0</v>
      </c>
      <c r="Q8" s="14" t="s">
        <v>33</v>
      </c>
      <c r="R8" s="2"/>
      <c r="S8" s="14"/>
    </row>
    <row r="9" spans="1:30" ht="41.25" x14ac:dyDescent="0.2">
      <c r="A9" s="2">
        <v>45915</v>
      </c>
      <c r="B9" s="14" t="s">
        <v>661</v>
      </c>
      <c r="C9" s="14" t="s">
        <v>662</v>
      </c>
      <c r="D9" s="1" t="s">
        <v>663</v>
      </c>
      <c r="E9" s="14" t="s">
        <v>664</v>
      </c>
      <c r="G9" s="17">
        <v>627224</v>
      </c>
      <c r="H9" s="14"/>
      <c r="I9" s="17"/>
      <c r="J9" s="17">
        <v>125400</v>
      </c>
      <c r="K9" s="6"/>
      <c r="L9" s="14" t="s">
        <v>19</v>
      </c>
      <c r="M9" s="6">
        <f t="shared" si="0"/>
        <v>627224</v>
      </c>
      <c r="N9" s="14" t="s">
        <v>21</v>
      </c>
      <c r="O9" s="6">
        <f t="shared" si="1"/>
        <v>313612</v>
      </c>
      <c r="P9" s="6">
        <f t="shared" si="2"/>
        <v>439012</v>
      </c>
      <c r="Q9" s="14" t="s">
        <v>20</v>
      </c>
      <c r="R9" s="2">
        <v>45940</v>
      </c>
      <c r="S9" s="14" t="s">
        <v>721</v>
      </c>
    </row>
    <row r="10" spans="1:30" ht="68.25" x14ac:dyDescent="0.2">
      <c r="A10" s="2">
        <v>45916</v>
      </c>
      <c r="B10" s="14" t="s">
        <v>658</v>
      </c>
      <c r="C10" s="14" t="s">
        <v>659</v>
      </c>
      <c r="D10" s="1" t="s">
        <v>660</v>
      </c>
      <c r="E10" s="14" t="s">
        <v>668</v>
      </c>
      <c r="G10" s="17">
        <v>1050000</v>
      </c>
      <c r="H10" s="14" t="s">
        <v>669</v>
      </c>
      <c r="I10" s="17">
        <v>298800</v>
      </c>
      <c r="J10" s="17"/>
      <c r="K10" s="6"/>
      <c r="L10" s="14" t="s">
        <v>26</v>
      </c>
      <c r="M10" s="6">
        <f t="shared" si="0"/>
        <v>751200</v>
      </c>
      <c r="N10" s="14" t="s">
        <v>21</v>
      </c>
      <c r="O10" s="6">
        <f t="shared" si="1"/>
        <v>375600</v>
      </c>
      <c r="P10" s="6">
        <f t="shared" si="2"/>
        <v>375600</v>
      </c>
      <c r="Q10" s="14" t="s">
        <v>20</v>
      </c>
      <c r="R10" s="2">
        <v>45916</v>
      </c>
      <c r="S10" s="14" t="s">
        <v>670</v>
      </c>
    </row>
    <row r="11" spans="1:30" ht="27.75" x14ac:dyDescent="0.2">
      <c r="A11" s="2">
        <v>45918</v>
      </c>
      <c r="B11" s="14" t="s">
        <v>671</v>
      </c>
      <c r="C11" s="14" t="s">
        <v>672</v>
      </c>
      <c r="D11" s="1" t="s">
        <v>660</v>
      </c>
      <c r="E11" s="14" t="s">
        <v>673</v>
      </c>
      <c r="G11" s="17">
        <v>180000</v>
      </c>
      <c r="H11" s="14"/>
      <c r="I11" s="17"/>
      <c r="J11" s="17"/>
      <c r="K11" s="6"/>
      <c r="L11" s="14" t="s">
        <v>26</v>
      </c>
      <c r="M11" s="6">
        <f t="shared" si="0"/>
        <v>180000</v>
      </c>
      <c r="N11" s="14" t="s">
        <v>21</v>
      </c>
      <c r="O11" s="6">
        <f t="shared" si="1"/>
        <v>90000</v>
      </c>
      <c r="P11" s="6">
        <f t="shared" si="2"/>
        <v>90000</v>
      </c>
      <c r="Q11" s="14" t="s">
        <v>20</v>
      </c>
      <c r="R11" s="2">
        <v>45918</v>
      </c>
      <c r="S11" s="14" t="s">
        <v>678</v>
      </c>
    </row>
    <row r="12" spans="1:30" x14ac:dyDescent="0.2">
      <c r="A12" s="2">
        <v>45919</v>
      </c>
      <c r="B12" s="14" t="s">
        <v>674</v>
      </c>
      <c r="C12" s="14" t="s">
        <v>675</v>
      </c>
      <c r="D12" s="1" t="s">
        <v>107</v>
      </c>
      <c r="E12" s="14" t="s">
        <v>676</v>
      </c>
      <c r="G12" s="17">
        <v>270000</v>
      </c>
      <c r="H12" s="14"/>
      <c r="I12" s="17"/>
      <c r="J12" s="17"/>
      <c r="K12" s="6"/>
      <c r="L12" s="14" t="s">
        <v>19</v>
      </c>
      <c r="M12" s="6">
        <f t="shared" si="0"/>
        <v>270000</v>
      </c>
      <c r="N12" s="14" t="s">
        <v>21</v>
      </c>
      <c r="O12" s="6">
        <f t="shared" si="1"/>
        <v>135000</v>
      </c>
      <c r="P12" s="6">
        <f t="shared" si="2"/>
        <v>135000</v>
      </c>
      <c r="Q12" s="14" t="s">
        <v>20</v>
      </c>
      <c r="R12" s="2">
        <v>45919</v>
      </c>
      <c r="S12" s="14" t="s">
        <v>677</v>
      </c>
    </row>
    <row r="13" spans="1:30" x14ac:dyDescent="0.2">
      <c r="A13" s="2">
        <v>45922</v>
      </c>
      <c r="B13" s="14" t="s">
        <v>679</v>
      </c>
      <c r="C13" s="14"/>
      <c r="D13" s="1" t="s">
        <v>31</v>
      </c>
      <c r="E13" s="14" t="s">
        <v>686</v>
      </c>
      <c r="G13" s="17">
        <v>340000</v>
      </c>
      <c r="H13" s="14" t="s">
        <v>680</v>
      </c>
      <c r="I13" s="17">
        <v>100000</v>
      </c>
      <c r="J13" s="17"/>
      <c r="K13" s="6"/>
      <c r="L13" s="14" t="s">
        <v>19</v>
      </c>
      <c r="M13" s="6">
        <f t="shared" si="0"/>
        <v>240000</v>
      </c>
      <c r="N13" s="14" t="s">
        <v>21</v>
      </c>
      <c r="O13" s="6">
        <f t="shared" si="1"/>
        <v>120000</v>
      </c>
      <c r="P13" s="6">
        <f t="shared" si="2"/>
        <v>120000</v>
      </c>
      <c r="Q13" s="14" t="s">
        <v>20</v>
      </c>
      <c r="R13" s="2">
        <v>45924</v>
      </c>
      <c r="S13" s="14" t="s">
        <v>677</v>
      </c>
    </row>
    <row r="14" spans="1:30" x14ac:dyDescent="0.2">
      <c r="A14" s="2">
        <v>45922</v>
      </c>
      <c r="B14" s="14" t="s">
        <v>674</v>
      </c>
      <c r="C14" s="14" t="s">
        <v>675</v>
      </c>
      <c r="D14" s="1" t="s">
        <v>107</v>
      </c>
      <c r="E14" s="14" t="s">
        <v>681</v>
      </c>
      <c r="G14" s="17">
        <v>124500</v>
      </c>
      <c r="H14" s="14" t="s">
        <v>682</v>
      </c>
      <c r="I14" s="17">
        <v>4500</v>
      </c>
      <c r="J14" s="17"/>
      <c r="K14" s="6"/>
      <c r="L14" s="14" t="s">
        <v>19</v>
      </c>
      <c r="M14" s="6">
        <f t="shared" si="0"/>
        <v>120000</v>
      </c>
      <c r="N14" s="14" t="s">
        <v>21</v>
      </c>
      <c r="O14" s="6">
        <f t="shared" si="1"/>
        <v>60000</v>
      </c>
      <c r="P14" s="6">
        <f t="shared" si="2"/>
        <v>60000</v>
      </c>
      <c r="Q14" s="14" t="s">
        <v>20</v>
      </c>
      <c r="R14" s="2">
        <v>45922</v>
      </c>
      <c r="S14" s="14" t="s">
        <v>677</v>
      </c>
    </row>
    <row r="15" spans="1:30" ht="27.75" x14ac:dyDescent="0.2">
      <c r="A15" s="2">
        <v>45923</v>
      </c>
      <c r="B15" s="14" t="s">
        <v>685</v>
      </c>
      <c r="C15" s="14" t="s">
        <v>711</v>
      </c>
      <c r="D15" s="1" t="s">
        <v>107</v>
      </c>
      <c r="E15" s="14" t="s">
        <v>684</v>
      </c>
      <c r="G15" s="17">
        <v>2660952</v>
      </c>
      <c r="H15" s="14"/>
      <c r="I15" s="17">
        <v>500000</v>
      </c>
      <c r="J15" s="17">
        <v>532000</v>
      </c>
      <c r="K15" s="6"/>
      <c r="L15" s="14" t="s">
        <v>19</v>
      </c>
      <c r="M15" s="6">
        <f t="shared" si="0"/>
        <v>2160952</v>
      </c>
      <c r="N15" s="14" t="s">
        <v>29</v>
      </c>
      <c r="O15" s="6">
        <f t="shared" si="1"/>
        <v>540238</v>
      </c>
      <c r="P15" s="6">
        <f t="shared" si="2"/>
        <v>1612476</v>
      </c>
      <c r="Q15" s="14" t="s">
        <v>20</v>
      </c>
      <c r="R15" s="2">
        <v>45965</v>
      </c>
      <c r="S15" s="14" t="s">
        <v>805</v>
      </c>
    </row>
    <row r="16" spans="1:30" x14ac:dyDescent="0.2">
      <c r="A16" s="2">
        <v>45929</v>
      </c>
      <c r="B16" s="14" t="s">
        <v>687</v>
      </c>
      <c r="C16" s="14"/>
      <c r="D16" s="1" t="s">
        <v>107</v>
      </c>
      <c r="E16" s="14" t="s">
        <v>688</v>
      </c>
      <c r="F16" s="7">
        <v>65000</v>
      </c>
      <c r="G16" s="17"/>
      <c r="H16" s="14"/>
      <c r="I16" s="17"/>
      <c r="J16" s="17"/>
      <c r="K16" s="6"/>
      <c r="L16" s="14" t="s">
        <v>19</v>
      </c>
      <c r="M16" s="6">
        <f t="shared" si="0"/>
        <v>65000</v>
      </c>
      <c r="N16" s="14" t="s">
        <v>21</v>
      </c>
      <c r="O16" s="6">
        <f t="shared" si="1"/>
        <v>32500</v>
      </c>
      <c r="P16" s="6">
        <f t="shared" si="2"/>
        <v>32500</v>
      </c>
      <c r="Q16" s="14" t="s">
        <v>39</v>
      </c>
      <c r="R16" s="2"/>
      <c r="S16" s="14"/>
    </row>
    <row r="17" spans="1:19" ht="27.75" x14ac:dyDescent="0.2">
      <c r="A17" s="2">
        <v>45929</v>
      </c>
      <c r="B17" s="14" t="s">
        <v>284</v>
      </c>
      <c r="C17" s="14" t="s">
        <v>689</v>
      </c>
      <c r="D17" s="1" t="s">
        <v>219</v>
      </c>
      <c r="E17" s="14" t="s">
        <v>690</v>
      </c>
      <c r="G17" s="17">
        <v>300000</v>
      </c>
      <c r="H17" s="14"/>
      <c r="I17" s="17"/>
      <c r="J17" s="17"/>
      <c r="K17" s="6"/>
      <c r="L17" s="14" t="s">
        <v>19</v>
      </c>
      <c r="M17" s="6">
        <f t="shared" si="0"/>
        <v>300000</v>
      </c>
      <c r="N17" s="14" t="s">
        <v>21</v>
      </c>
      <c r="O17" s="6">
        <f t="shared" si="1"/>
        <v>150000</v>
      </c>
      <c r="P17" s="6">
        <f t="shared" si="2"/>
        <v>150000</v>
      </c>
      <c r="Q17" s="14" t="s">
        <v>20</v>
      </c>
      <c r="R17" s="2">
        <v>45931</v>
      </c>
      <c r="S17" s="14" t="s">
        <v>677</v>
      </c>
    </row>
    <row r="18" spans="1:19" ht="41.25" x14ac:dyDescent="0.2">
      <c r="A18" s="2">
        <v>45930</v>
      </c>
      <c r="B18" s="14" t="s">
        <v>512</v>
      </c>
      <c r="C18" s="14" t="s">
        <v>692</v>
      </c>
      <c r="D18" s="1" t="s">
        <v>513</v>
      </c>
      <c r="E18" s="14" t="s">
        <v>691</v>
      </c>
      <c r="G18" s="17">
        <v>1473027</v>
      </c>
      <c r="H18" s="14" t="s">
        <v>732</v>
      </c>
      <c r="I18" s="17">
        <v>763250</v>
      </c>
      <c r="J18" s="17">
        <v>294500</v>
      </c>
      <c r="K18" s="6"/>
      <c r="L18" s="14" t="s">
        <v>19</v>
      </c>
      <c r="M18" s="6">
        <f t="shared" si="0"/>
        <v>709777</v>
      </c>
      <c r="N18" s="14" t="s">
        <v>29</v>
      </c>
      <c r="O18" s="6">
        <f t="shared" si="1"/>
        <v>177444.25</v>
      </c>
      <c r="P18" s="6">
        <f t="shared" si="2"/>
        <v>649388.5</v>
      </c>
      <c r="Q18" s="14" t="s">
        <v>20</v>
      </c>
      <c r="R18" s="2">
        <v>45951</v>
      </c>
      <c r="S18" s="14" t="s">
        <v>749</v>
      </c>
    </row>
    <row r="19" spans="1:19" ht="41.25" x14ac:dyDescent="0.2">
      <c r="A19" s="2">
        <v>45930</v>
      </c>
      <c r="B19" s="14" t="s">
        <v>685</v>
      </c>
      <c r="C19" s="14" t="s">
        <v>711</v>
      </c>
      <c r="D19" s="1" t="s">
        <v>107</v>
      </c>
      <c r="E19" s="14" t="s">
        <v>693</v>
      </c>
      <c r="G19" s="17">
        <v>1330476</v>
      </c>
      <c r="H19" s="14" t="s">
        <v>807</v>
      </c>
      <c r="I19" s="17">
        <v>620000</v>
      </c>
      <c r="J19" s="17">
        <v>266000</v>
      </c>
      <c r="K19" s="6"/>
      <c r="L19" s="14" t="s">
        <v>19</v>
      </c>
      <c r="M19" s="6">
        <f t="shared" si="0"/>
        <v>710476</v>
      </c>
      <c r="N19" s="14" t="s">
        <v>29</v>
      </c>
      <c r="O19" s="6">
        <f t="shared" si="1"/>
        <v>177619</v>
      </c>
      <c r="P19" s="6">
        <f t="shared" si="2"/>
        <v>621238</v>
      </c>
      <c r="Q19" s="14" t="s">
        <v>20</v>
      </c>
      <c r="R19" s="2">
        <v>45974</v>
      </c>
      <c r="S19" s="14" t="s">
        <v>808</v>
      </c>
    </row>
    <row r="20" spans="1:19" x14ac:dyDescent="0.2">
      <c r="A20" s="2"/>
      <c r="B20" s="14"/>
      <c r="C20" s="14"/>
      <c r="D20" s="1"/>
      <c r="E20" s="14"/>
      <c r="G20" s="17"/>
      <c r="H20" s="14"/>
      <c r="I20" s="17"/>
      <c r="J20" s="17"/>
      <c r="K20" s="6"/>
      <c r="L20" s="14"/>
      <c r="M20" s="6"/>
      <c r="N20" s="14"/>
      <c r="O20" s="6"/>
      <c r="P20" s="6"/>
      <c r="Q20" s="14"/>
      <c r="R20" s="2"/>
      <c r="S20" s="14"/>
    </row>
    <row r="21" spans="1:19" x14ac:dyDescent="0.2">
      <c r="A21" s="2"/>
      <c r="B21" s="14"/>
      <c r="C21" s="14"/>
      <c r="D21" s="1"/>
      <c r="E21" s="14"/>
      <c r="G21" s="17"/>
      <c r="H21" s="14"/>
      <c r="I21" s="17"/>
      <c r="J21" s="17"/>
      <c r="K21" s="6"/>
      <c r="L21" s="14"/>
      <c r="M21" s="6">
        <f t="shared" si="0"/>
        <v>0</v>
      </c>
      <c r="N21" s="14"/>
      <c r="O21" s="6" t="str">
        <f t="shared" si="1"/>
        <v/>
      </c>
      <c r="P21" s="6">
        <f t="shared" si="2"/>
        <v>0</v>
      </c>
      <c r="Q21" s="14"/>
      <c r="R21" s="2"/>
      <c r="S21" s="14"/>
    </row>
    <row r="22" spans="1:19" x14ac:dyDescent="0.2">
      <c r="A22" s="2"/>
      <c r="B22" s="14"/>
      <c r="C22" s="14"/>
      <c r="D22" s="1"/>
      <c r="E22" s="14"/>
      <c r="G22" s="17"/>
      <c r="H22" s="14"/>
      <c r="I22" s="17"/>
      <c r="J22" s="17"/>
      <c r="K22" s="6"/>
      <c r="L22" s="14"/>
      <c r="M22" s="6">
        <f t="shared" si="0"/>
        <v>0</v>
      </c>
      <c r="N22" s="14"/>
      <c r="O22" s="6" t="str">
        <f t="shared" si="1"/>
        <v/>
      </c>
      <c r="P22" s="6">
        <f t="shared" si="2"/>
        <v>0</v>
      </c>
      <c r="Q22" s="14"/>
      <c r="R22" s="2"/>
      <c r="S22" s="14"/>
    </row>
    <row r="23" spans="1:19" x14ac:dyDescent="0.2">
      <c r="A23" s="2"/>
      <c r="B23" s="14"/>
      <c r="C23" s="14"/>
      <c r="D23" s="1"/>
      <c r="E23" s="14"/>
      <c r="G23" s="17"/>
      <c r="H23" s="14"/>
      <c r="I23" s="17"/>
      <c r="J23" s="17"/>
      <c r="K23" s="6"/>
      <c r="L23" s="14"/>
      <c r="M23" s="6">
        <f t="shared" si="0"/>
        <v>0</v>
      </c>
      <c r="N23" s="14"/>
      <c r="O23" s="6" t="str">
        <f t="shared" si="1"/>
        <v/>
      </c>
      <c r="P23" s="6">
        <f t="shared" si="2"/>
        <v>0</v>
      </c>
      <c r="Q23" s="14"/>
      <c r="R23" s="2"/>
      <c r="S23" s="14"/>
    </row>
    <row r="24" spans="1:19" x14ac:dyDescent="0.2">
      <c r="A24" s="2"/>
      <c r="B24" s="14"/>
      <c r="C24" s="14"/>
      <c r="D24" s="1"/>
      <c r="E24" s="14"/>
      <c r="G24" s="17"/>
      <c r="H24" s="14"/>
      <c r="I24" s="17"/>
      <c r="J24" s="17"/>
      <c r="K24" s="6"/>
      <c r="L24" s="14"/>
      <c r="M24" s="6">
        <f t="shared" si="0"/>
        <v>0</v>
      </c>
      <c r="N24" s="14"/>
      <c r="O24" s="6" t="str">
        <f t="shared" si="1"/>
        <v/>
      </c>
      <c r="P24" s="6">
        <f t="shared" si="2"/>
        <v>0</v>
      </c>
      <c r="Q24" s="14"/>
      <c r="R24" s="2"/>
      <c r="S24" s="14"/>
    </row>
    <row r="25" spans="1:19" x14ac:dyDescent="0.2">
      <c r="A25" s="2"/>
      <c r="B25" s="14"/>
      <c r="C25" s="14"/>
      <c r="D25" s="1"/>
      <c r="E25" s="14"/>
      <c r="G25" s="17"/>
      <c r="H25" s="14"/>
      <c r="I25" s="17"/>
      <c r="J25" s="17"/>
      <c r="K25" s="6"/>
      <c r="L25" s="14"/>
      <c r="M25" s="6">
        <f t="shared" si="0"/>
        <v>0</v>
      </c>
      <c r="N25" s="14"/>
      <c r="O25" s="6" t="str">
        <f t="shared" si="1"/>
        <v/>
      </c>
      <c r="P25" s="6">
        <f t="shared" si="2"/>
        <v>0</v>
      </c>
      <c r="Q25" s="14"/>
      <c r="R25" s="2"/>
      <c r="S25" s="14"/>
    </row>
    <row r="26" spans="1:19" x14ac:dyDescent="0.2">
      <c r="A26" s="2"/>
      <c r="B26" s="14"/>
      <c r="C26" s="14"/>
      <c r="D26" s="1"/>
      <c r="E26" s="14"/>
      <c r="G26" s="17"/>
      <c r="H26" s="14"/>
      <c r="I26" s="17"/>
      <c r="J26" s="17"/>
      <c r="K26" s="6"/>
      <c r="L26" s="14"/>
      <c r="M26" s="6">
        <f t="shared" si="0"/>
        <v>0</v>
      </c>
      <c r="N26" s="14"/>
      <c r="O26" s="6" t="str">
        <f t="shared" si="1"/>
        <v/>
      </c>
      <c r="P26" s="6">
        <f t="shared" si="2"/>
        <v>0</v>
      </c>
      <c r="Q26" s="14"/>
      <c r="R26" s="2"/>
      <c r="S26" s="14"/>
    </row>
    <row r="27" spans="1:19" x14ac:dyDescent="0.2">
      <c r="A27" s="2"/>
      <c r="B27" s="14"/>
      <c r="C27" s="14"/>
      <c r="D27" s="1"/>
      <c r="E27" s="14"/>
      <c r="G27" s="17"/>
      <c r="H27" s="14"/>
      <c r="I27" s="17"/>
      <c r="J27" s="17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2"/>
      <c r="S27" s="14"/>
    </row>
    <row r="28" spans="1:19" x14ac:dyDescent="0.2">
      <c r="A28" s="2"/>
      <c r="B28" s="14"/>
      <c r="C28" s="14"/>
      <c r="D28" s="1"/>
      <c r="E28" s="14"/>
      <c r="G28" s="17"/>
      <c r="H28" s="14"/>
      <c r="I28" s="17"/>
      <c r="J28" s="17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 t="shared" si="2"/>
        <v>0</v>
      </c>
      <c r="Q28" s="14"/>
      <c r="R28" s="2"/>
      <c r="S28" s="14"/>
    </row>
    <row r="29" spans="1:19" x14ac:dyDescent="0.2">
      <c r="A29" s="2"/>
      <c r="B29" s="14"/>
      <c r="C29" s="14"/>
      <c r="D29" s="1"/>
      <c r="E29" s="14"/>
      <c r="G29" s="17"/>
      <c r="H29" s="14"/>
      <c r="I29" s="17"/>
      <c r="J29" s="17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2"/>
      <c r="S29" s="14"/>
    </row>
    <row r="30" spans="1:19" x14ac:dyDescent="0.2">
      <c r="A30" s="2"/>
      <c r="B30" s="14"/>
      <c r="C30" s="14"/>
      <c r="D30" s="1"/>
      <c r="E30" s="14"/>
      <c r="G30" s="17"/>
      <c r="H30" s="14"/>
      <c r="I30" s="17"/>
      <c r="J30" s="17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2"/>
      <c r="S30" s="14"/>
    </row>
    <row r="31" spans="1:19" x14ac:dyDescent="0.2">
      <c r="A31" s="2"/>
      <c r="B31" s="14"/>
      <c r="C31" s="14"/>
      <c r="D31" s="1"/>
      <c r="E31" s="14"/>
      <c r="G31" s="17"/>
      <c r="H31" s="14"/>
      <c r="I31" s="17"/>
      <c r="J31" s="17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2"/>
      <c r="S31" s="14"/>
    </row>
    <row r="32" spans="1:19" x14ac:dyDescent="0.2">
      <c r="A32" s="2"/>
      <c r="B32" s="14"/>
      <c r="C32" s="14"/>
      <c r="D32" s="1"/>
      <c r="E32" s="14"/>
      <c r="G32" s="17"/>
      <c r="H32" s="14"/>
      <c r="I32" s="17"/>
      <c r="J32" s="17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2"/>
      <c r="S32" s="14"/>
    </row>
    <row r="33" spans="1:19" x14ac:dyDescent="0.2">
      <c r="A33" s="2"/>
      <c r="B33" s="14"/>
      <c r="C33" s="14"/>
      <c r="D33" s="1"/>
      <c r="E33" s="14"/>
      <c r="G33" s="17"/>
      <c r="H33" s="14"/>
      <c r="I33" s="17"/>
      <c r="J33" s="17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2"/>
      <c r="S33" s="14"/>
    </row>
    <row r="34" spans="1:19" x14ac:dyDescent="0.2">
      <c r="A34" s="2"/>
      <c r="B34" s="14"/>
      <c r="C34" s="14"/>
      <c r="D34" s="1"/>
      <c r="E34" s="14"/>
      <c r="G34" s="17"/>
      <c r="H34" s="14"/>
      <c r="I34" s="17"/>
      <c r="J34" s="17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2"/>
      <c r="S34" s="14"/>
    </row>
    <row r="35" spans="1:19" x14ac:dyDescent="0.2">
      <c r="A35" s="2"/>
      <c r="B35" s="14"/>
      <c r="C35" s="14"/>
      <c r="D35" s="1"/>
      <c r="E35" s="14"/>
      <c r="G35" s="17"/>
      <c r="H35" s="14"/>
      <c r="I35" s="17"/>
      <c r="J35" s="17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2"/>
      <c r="S35" s="14"/>
    </row>
    <row r="36" spans="1:19" x14ac:dyDescent="0.2">
      <c r="A36" s="2"/>
      <c r="B36" s="14"/>
      <c r="C36" s="14"/>
      <c r="D36" s="1"/>
      <c r="E36" s="14"/>
      <c r="G36" s="17"/>
      <c r="H36" s="14"/>
      <c r="I36" s="17"/>
      <c r="J36" s="17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2"/>
      <c r="S36" s="14"/>
    </row>
    <row r="37" spans="1:19" x14ac:dyDescent="0.2">
      <c r="A37" s="2"/>
      <c r="B37" s="14"/>
      <c r="C37" s="14"/>
      <c r="D37" s="1"/>
      <c r="E37" s="14"/>
      <c r="G37" s="17"/>
      <c r="H37" s="14"/>
      <c r="I37" s="17"/>
      <c r="J37" s="17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2"/>
      <c r="S37" s="14"/>
    </row>
    <row r="38" spans="1:19" x14ac:dyDescent="0.2">
      <c r="A38" s="2"/>
      <c r="B38" s="14"/>
      <c r="C38" s="14"/>
      <c r="D38" s="1"/>
      <c r="E38" s="14"/>
      <c r="G38" s="17"/>
      <c r="H38" s="14"/>
      <c r="I38" s="17"/>
      <c r="J38" s="17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2"/>
      <c r="S38" s="14"/>
    </row>
    <row r="39" spans="1:19" x14ac:dyDescent="0.2">
      <c r="A39" s="2"/>
      <c r="B39" s="14"/>
      <c r="C39" s="14"/>
      <c r="D39" s="1"/>
      <c r="E39" s="14"/>
      <c r="G39" s="17"/>
      <c r="H39" s="14"/>
      <c r="I39" s="17"/>
      <c r="J39" s="17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2"/>
      <c r="S39" s="14"/>
    </row>
    <row r="40" spans="1:19" x14ac:dyDescent="0.2">
      <c r="A40" s="2"/>
      <c r="B40" s="14"/>
      <c r="C40" s="14"/>
      <c r="D40" s="1"/>
      <c r="E40" s="14"/>
      <c r="G40" s="17"/>
      <c r="H40" s="14"/>
      <c r="I40" s="17"/>
      <c r="J40" s="17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2"/>
      <c r="S40" s="14"/>
    </row>
    <row r="41" spans="1:19" x14ac:dyDescent="0.2">
      <c r="A41" s="3" t="s">
        <v>119</v>
      </c>
      <c r="F41" s="13"/>
      <c r="S41" s="15">
        <f>SUBTOTAL(103,Tabla145678910[[NOTAS ]])</f>
        <v>16</v>
      </c>
    </row>
  </sheetData>
  <conditionalFormatting sqref="A2:S41">
    <cfRule type="expression" dxfId="39" priority="1" stopIfTrue="1">
      <formula>$Q2="YA RELACIONADO"</formula>
    </cfRule>
    <cfRule type="expression" dxfId="38" priority="2" stopIfTrue="1">
      <formula>$Q2="COTIZACIÓN"</formula>
    </cfRule>
    <cfRule type="expression" dxfId="37" priority="3" stopIfTrue="1">
      <formula>$Q2="NO PAGARON DOMICILIO"</formula>
    </cfRule>
    <cfRule type="expression" dxfId="36" priority="4" stopIfTrue="1">
      <formula>$Q2="NO SE COBRA DOMICILIO"</formula>
    </cfRule>
    <cfRule type="expression" dxfId="35" priority="5" stopIfTrue="1">
      <formula>$Q2="GARANTIA"</formula>
    </cfRule>
    <cfRule type="expression" dxfId="34" priority="6" stopIfTrue="1">
      <formula>$Q2="CANCELADO"</formula>
    </cfRule>
  </conditionalFormatting>
  <dataValidations count="3">
    <dataValidation type="list" allowBlank="1" showInputMessage="1" showErrorMessage="1" sqref="N2:N40" xr:uid="{1ABB7810-D827-41BE-890A-118E0F397026}">
      <formula1>$AD$1:$AD$2</formula1>
    </dataValidation>
    <dataValidation type="list" allowBlank="1" showInputMessage="1" showErrorMessage="1" sqref="L2:L40" xr:uid="{1A2C7A53-6890-41EB-B71C-9C5EAA1D844B}">
      <formula1>$AB$1:$AB$2</formula1>
    </dataValidation>
    <dataValidation type="list" allowBlank="1" showInputMessage="1" showErrorMessage="1" sqref="Q2:Q40" xr:uid="{AE4DD49B-E717-4508-9631-814C5AD9D63F}">
      <formula1>$AC$1:$AC$7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4FE4-D4BA-4D9F-9AD3-E147826515D5}">
  <sheetPr codeName="Hoja10">
    <tabColor rgb="FFC00000"/>
  </sheetPr>
  <dimension ref="A1:AD42"/>
  <sheetViews>
    <sheetView zoomScaleNormal="100" workbookViewId="0">
      <selection activeCell="B6" sqref="B6"/>
    </sheetView>
  </sheetViews>
  <sheetFormatPr defaultColWidth="10.76171875" defaultRowHeight="15" x14ac:dyDescent="0.2"/>
  <cols>
    <col min="1" max="1" width="31.20703125" style="43" customWidth="1"/>
    <col min="2" max="2" width="25.01953125" style="15" customWidth="1"/>
    <col min="3" max="3" width="22.8671875" style="15" customWidth="1"/>
    <col min="4" max="4" width="17.21875" style="15" customWidth="1"/>
    <col min="5" max="5" width="41.1640625" style="15" customWidth="1"/>
    <col min="6" max="6" width="17.08203125" style="44" customWidth="1"/>
    <col min="7" max="7" width="16.41015625" style="18" customWidth="1"/>
    <col min="8" max="8" width="39.546875" customWidth="1"/>
    <col min="9" max="9" width="19.234375" style="20" customWidth="1"/>
    <col min="10" max="10" width="11.56640625" style="18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12" customWidth="1"/>
    <col min="18" max="18" width="36.58984375" style="3" customWidth="1"/>
    <col min="19" max="19" width="58.11328125" style="15" customWidth="1"/>
    <col min="28" max="28" width="17.75390625" customWidth="1"/>
    <col min="29" max="29" width="26.36328125" customWidth="1"/>
  </cols>
  <sheetData>
    <row r="1" spans="1:30" x14ac:dyDescent="0.2">
      <c r="A1" s="4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44" t="s">
        <v>5</v>
      </c>
      <c r="G1" s="17" t="s">
        <v>6</v>
      </c>
      <c r="H1" s="1" t="s">
        <v>7</v>
      </c>
      <c r="I1" s="19" t="s">
        <v>8</v>
      </c>
      <c r="J1" s="17" t="s">
        <v>9</v>
      </c>
      <c r="K1" s="6" t="s">
        <v>10</v>
      </c>
      <c r="L1" s="1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2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ht="27.75" x14ac:dyDescent="0.2">
      <c r="A2" s="42">
        <v>45931</v>
      </c>
      <c r="B2" s="14" t="s">
        <v>484</v>
      </c>
      <c r="C2" s="14" t="s">
        <v>695</v>
      </c>
      <c r="D2" s="14" t="s">
        <v>107</v>
      </c>
      <c r="E2" s="14" t="s">
        <v>696</v>
      </c>
      <c r="G2" s="17">
        <v>1400000</v>
      </c>
      <c r="H2" s="1"/>
      <c r="I2" s="19"/>
      <c r="J2" s="17"/>
      <c r="K2" s="6"/>
      <c r="L2" s="14" t="s">
        <v>19</v>
      </c>
      <c r="M2" s="6">
        <f t="shared" ref="M2:M41" si="0">(F2+G2-I2-K2)</f>
        <v>1400000</v>
      </c>
      <c r="N2" s="14" t="s">
        <v>21</v>
      </c>
      <c r="O2" s="6">
        <f t="shared" ref="O2:O41" si="1">IF(N2="X25%",M2*0.25,IF(N2="X50%",M2/2,""))</f>
        <v>700000</v>
      </c>
      <c r="P2" s="6">
        <f t="shared" ref="P2:P41" si="2">(M2/2+J2)</f>
        <v>700000</v>
      </c>
      <c r="Q2" s="14" t="s">
        <v>20</v>
      </c>
      <c r="R2" s="2">
        <v>45936</v>
      </c>
      <c r="S2" s="14" t="s">
        <v>710</v>
      </c>
      <c r="AB2" s="1" t="s">
        <v>26</v>
      </c>
      <c r="AC2" s="14" t="s">
        <v>28</v>
      </c>
      <c r="AD2" s="14" t="s">
        <v>29</v>
      </c>
    </row>
    <row r="3" spans="1:30" x14ac:dyDescent="0.2">
      <c r="A3" s="42">
        <v>45933</v>
      </c>
      <c r="B3" s="14" t="s">
        <v>697</v>
      </c>
      <c r="C3" s="14" t="s">
        <v>698</v>
      </c>
      <c r="D3" s="14" t="s">
        <v>107</v>
      </c>
      <c r="E3" s="14" t="s">
        <v>699</v>
      </c>
      <c r="F3" s="44">
        <v>120000</v>
      </c>
      <c r="G3" s="17"/>
      <c r="H3" s="1"/>
      <c r="I3" s="19"/>
      <c r="J3" s="17">
        <v>22800</v>
      </c>
      <c r="K3" s="6"/>
      <c r="L3" s="14" t="s">
        <v>26</v>
      </c>
      <c r="M3" s="6">
        <f t="shared" si="0"/>
        <v>120000</v>
      </c>
      <c r="N3" s="14" t="s">
        <v>21</v>
      </c>
      <c r="O3" s="6">
        <f t="shared" si="1"/>
        <v>60000</v>
      </c>
      <c r="P3" s="6">
        <f t="shared" si="2"/>
        <v>82800</v>
      </c>
      <c r="Q3" s="14" t="s">
        <v>20</v>
      </c>
      <c r="R3" s="2">
        <v>45933</v>
      </c>
      <c r="S3" s="14" t="s">
        <v>700</v>
      </c>
      <c r="AC3" s="14" t="s">
        <v>33</v>
      </c>
    </row>
    <row r="4" spans="1:30" ht="27.75" x14ac:dyDescent="0.2">
      <c r="A4" s="42">
        <v>45933</v>
      </c>
      <c r="B4" s="14" t="s">
        <v>337</v>
      </c>
      <c r="C4" s="14" t="s">
        <v>708</v>
      </c>
      <c r="D4" s="14" t="s">
        <v>31</v>
      </c>
      <c r="E4" s="14" t="s">
        <v>709</v>
      </c>
      <c r="G4" s="17"/>
      <c r="H4" s="1"/>
      <c r="I4" s="19"/>
      <c r="J4" s="17"/>
      <c r="K4" s="6"/>
      <c r="L4" s="1" t="s">
        <v>19</v>
      </c>
      <c r="M4" s="6">
        <f>(F4+G4-I4-K4)</f>
        <v>0</v>
      </c>
      <c r="N4" s="8"/>
      <c r="O4" s="6" t="str">
        <f>IF(N4="X25%",M4*0.25,IF(N4="X50%",M4/2,""))</f>
        <v/>
      </c>
      <c r="P4" s="6">
        <f>(M4/2+J4)</f>
        <v>0</v>
      </c>
      <c r="Q4" s="11" t="s">
        <v>35</v>
      </c>
      <c r="R4" s="2"/>
      <c r="S4" s="14" t="s">
        <v>765</v>
      </c>
      <c r="AC4" s="14"/>
    </row>
    <row r="5" spans="1:30" ht="27.75" x14ac:dyDescent="0.2">
      <c r="A5" s="42">
        <v>45936</v>
      </c>
      <c r="B5" s="14" t="s">
        <v>701</v>
      </c>
      <c r="C5" s="14" t="s">
        <v>702</v>
      </c>
      <c r="D5" s="14" t="s">
        <v>107</v>
      </c>
      <c r="E5" s="14" t="s">
        <v>703</v>
      </c>
      <c r="G5" s="17">
        <v>1995714</v>
      </c>
      <c r="H5" s="1" t="s">
        <v>847</v>
      </c>
      <c r="I5" s="19">
        <v>680000</v>
      </c>
      <c r="J5" s="17">
        <v>399000</v>
      </c>
      <c r="K5" s="6"/>
      <c r="L5" s="14" t="s">
        <v>19</v>
      </c>
      <c r="M5" s="6">
        <f t="shared" si="0"/>
        <v>1315714</v>
      </c>
      <c r="N5" s="14" t="s">
        <v>29</v>
      </c>
      <c r="O5" s="6">
        <f t="shared" si="1"/>
        <v>328928.5</v>
      </c>
      <c r="P5" s="6">
        <f t="shared" si="2"/>
        <v>1056857</v>
      </c>
      <c r="Q5" s="14" t="s">
        <v>20</v>
      </c>
      <c r="R5" s="2">
        <v>45987</v>
      </c>
      <c r="S5" s="14" t="s">
        <v>848</v>
      </c>
      <c r="AC5" s="14" t="s">
        <v>35</v>
      </c>
    </row>
    <row r="6" spans="1:30" ht="27.75" x14ac:dyDescent="0.2">
      <c r="A6" s="42">
        <v>45936</v>
      </c>
      <c r="B6" s="14" t="s">
        <v>685</v>
      </c>
      <c r="C6" s="14" t="s">
        <v>704</v>
      </c>
      <c r="D6" s="14" t="s">
        <v>107</v>
      </c>
      <c r="E6" s="14" t="s">
        <v>705</v>
      </c>
      <c r="G6" s="17"/>
      <c r="H6" s="1"/>
      <c r="I6" s="19"/>
      <c r="J6" s="17"/>
      <c r="K6" s="6"/>
      <c r="L6" s="14"/>
      <c r="M6" s="6">
        <f t="shared" si="0"/>
        <v>0</v>
      </c>
      <c r="N6" s="14"/>
      <c r="O6" s="6" t="str">
        <f t="shared" si="1"/>
        <v/>
      </c>
      <c r="P6" s="6">
        <f t="shared" si="2"/>
        <v>0</v>
      </c>
      <c r="Q6" s="14" t="s">
        <v>45</v>
      </c>
      <c r="R6" s="2"/>
      <c r="S6" s="14"/>
      <c r="AC6" s="14" t="s">
        <v>39</v>
      </c>
    </row>
    <row r="7" spans="1:30" x14ac:dyDescent="0.2">
      <c r="A7" s="42">
        <v>45936</v>
      </c>
      <c r="B7" s="14" t="s">
        <v>706</v>
      </c>
      <c r="C7" s="14" t="s">
        <v>672</v>
      </c>
      <c r="D7" s="14" t="s">
        <v>660</v>
      </c>
      <c r="E7" s="14" t="s">
        <v>707</v>
      </c>
      <c r="G7" s="17"/>
      <c r="H7" s="1"/>
      <c r="I7" s="19"/>
      <c r="J7" s="17"/>
      <c r="K7" s="6"/>
      <c r="L7" s="14"/>
      <c r="M7" s="6">
        <f t="shared" si="0"/>
        <v>0</v>
      </c>
      <c r="N7" s="14"/>
      <c r="O7" s="6" t="str">
        <f t="shared" si="1"/>
        <v/>
      </c>
      <c r="P7" s="6">
        <f t="shared" si="2"/>
        <v>0</v>
      </c>
      <c r="Q7" s="14" t="s">
        <v>45</v>
      </c>
      <c r="R7" s="2"/>
      <c r="S7" s="14"/>
      <c r="AC7" s="14" t="s">
        <v>45</v>
      </c>
    </row>
    <row r="8" spans="1:30" ht="54.75" x14ac:dyDescent="0.2">
      <c r="A8" s="42">
        <v>45937</v>
      </c>
      <c r="B8" s="14" t="s">
        <v>712</v>
      </c>
      <c r="C8" s="14" t="s">
        <v>714</v>
      </c>
      <c r="D8" s="14" t="s">
        <v>713</v>
      </c>
      <c r="E8" s="14" t="s">
        <v>715</v>
      </c>
      <c r="G8" s="17">
        <v>2398965</v>
      </c>
      <c r="H8" s="1"/>
      <c r="I8" s="19"/>
      <c r="J8" s="17">
        <v>874380</v>
      </c>
      <c r="K8" s="6"/>
      <c r="L8" s="14" t="s">
        <v>19</v>
      </c>
      <c r="M8" s="6">
        <f t="shared" si="0"/>
        <v>2398965</v>
      </c>
      <c r="N8" s="14" t="s">
        <v>29</v>
      </c>
      <c r="O8" s="6">
        <f t="shared" si="1"/>
        <v>599741.25</v>
      </c>
      <c r="P8" s="6">
        <f t="shared" si="2"/>
        <v>2073862.5</v>
      </c>
      <c r="Q8" s="14" t="s">
        <v>20</v>
      </c>
      <c r="R8" s="2">
        <v>45951</v>
      </c>
      <c r="S8" s="14" t="s">
        <v>727</v>
      </c>
      <c r="AC8" s="14" t="s">
        <v>50</v>
      </c>
    </row>
    <row r="9" spans="1:30" ht="27.75" x14ac:dyDescent="0.2">
      <c r="A9" s="42">
        <v>45938</v>
      </c>
      <c r="B9" s="14" t="s">
        <v>716</v>
      </c>
      <c r="C9" s="14" t="s">
        <v>722</v>
      </c>
      <c r="D9" s="14" t="s">
        <v>599</v>
      </c>
      <c r="E9" s="14" t="s">
        <v>717</v>
      </c>
      <c r="G9" s="17"/>
      <c r="H9" s="1"/>
      <c r="I9" s="19"/>
      <c r="J9" s="17"/>
      <c r="K9" s="6"/>
      <c r="L9" s="14" t="s">
        <v>19</v>
      </c>
      <c r="M9" s="6">
        <f t="shared" si="0"/>
        <v>0</v>
      </c>
      <c r="N9" s="14" t="s">
        <v>21</v>
      </c>
      <c r="O9" s="6">
        <f t="shared" si="1"/>
        <v>0</v>
      </c>
      <c r="P9" s="6">
        <f t="shared" si="2"/>
        <v>0</v>
      </c>
      <c r="Q9" s="14" t="s">
        <v>50</v>
      </c>
      <c r="R9" s="2"/>
      <c r="S9" s="14"/>
    </row>
    <row r="10" spans="1:30" ht="41.25" x14ac:dyDescent="0.2">
      <c r="A10" s="42">
        <v>45944</v>
      </c>
      <c r="B10" s="14" t="s">
        <v>723</v>
      </c>
      <c r="C10" s="14"/>
      <c r="D10" s="14" t="s">
        <v>724</v>
      </c>
      <c r="E10" s="14" t="s">
        <v>725</v>
      </c>
      <c r="G10" s="17">
        <v>650000</v>
      </c>
      <c r="H10" s="1"/>
      <c r="I10" s="19"/>
      <c r="J10" s="17"/>
      <c r="K10" s="6"/>
      <c r="L10" s="14" t="s">
        <v>26</v>
      </c>
      <c r="M10" s="6">
        <f t="shared" si="0"/>
        <v>650000</v>
      </c>
      <c r="N10" s="14" t="s">
        <v>21</v>
      </c>
      <c r="O10" s="6">
        <f t="shared" si="1"/>
        <v>325000</v>
      </c>
      <c r="P10" s="6">
        <f t="shared" si="2"/>
        <v>325000</v>
      </c>
      <c r="Q10" s="14" t="s">
        <v>20</v>
      </c>
      <c r="R10" s="2">
        <v>45944</v>
      </c>
      <c r="S10" s="14" t="s">
        <v>726</v>
      </c>
    </row>
    <row r="11" spans="1:30" ht="27.75" x14ac:dyDescent="0.2">
      <c r="A11" s="42">
        <v>45951</v>
      </c>
      <c r="B11" s="14" t="s">
        <v>728</v>
      </c>
      <c r="C11" s="14" t="s">
        <v>539</v>
      </c>
      <c r="D11" s="14" t="s">
        <v>540</v>
      </c>
      <c r="E11" s="14" t="s">
        <v>729</v>
      </c>
      <c r="G11" s="17">
        <v>350000</v>
      </c>
      <c r="H11" s="1" t="s">
        <v>730</v>
      </c>
      <c r="I11" s="19">
        <v>120000</v>
      </c>
      <c r="J11" s="17"/>
      <c r="K11" s="6"/>
      <c r="L11" s="14" t="s">
        <v>19</v>
      </c>
      <c r="M11" s="6">
        <f t="shared" si="0"/>
        <v>230000</v>
      </c>
      <c r="N11" s="14" t="s">
        <v>21</v>
      </c>
      <c r="O11" s="6">
        <f t="shared" si="1"/>
        <v>115000</v>
      </c>
      <c r="P11" s="6">
        <f t="shared" si="2"/>
        <v>115000</v>
      </c>
      <c r="Q11" s="14" t="s">
        <v>20</v>
      </c>
      <c r="R11" s="2">
        <v>45951</v>
      </c>
      <c r="S11" s="14" t="s">
        <v>731</v>
      </c>
    </row>
    <row r="12" spans="1:30" x14ac:dyDescent="0.2">
      <c r="A12" s="42">
        <v>45952</v>
      </c>
      <c r="B12" s="14" t="s">
        <v>735</v>
      </c>
      <c r="C12" s="14" t="s">
        <v>736</v>
      </c>
      <c r="D12" s="14" t="s">
        <v>31</v>
      </c>
      <c r="E12" s="14" t="s">
        <v>737</v>
      </c>
      <c r="F12" s="44">
        <v>80000</v>
      </c>
      <c r="G12" s="17"/>
      <c r="H12" s="1"/>
      <c r="I12" s="19"/>
      <c r="J12" s="17"/>
      <c r="K12" s="6"/>
      <c r="L12" s="14" t="s">
        <v>26</v>
      </c>
      <c r="M12" s="6">
        <f t="shared" si="0"/>
        <v>80000</v>
      </c>
      <c r="N12" s="14" t="s">
        <v>21</v>
      </c>
      <c r="O12" s="6">
        <f t="shared" si="1"/>
        <v>40000</v>
      </c>
      <c r="P12" s="6">
        <f t="shared" si="2"/>
        <v>40000</v>
      </c>
      <c r="Q12" s="14" t="s">
        <v>20</v>
      </c>
      <c r="R12" s="2">
        <v>45952</v>
      </c>
      <c r="S12" s="14" t="s">
        <v>738</v>
      </c>
    </row>
    <row r="13" spans="1:30" ht="27.75" x14ac:dyDescent="0.2">
      <c r="A13" s="42">
        <v>45952</v>
      </c>
      <c r="B13" s="14" t="s">
        <v>739</v>
      </c>
      <c r="C13" s="14" t="s">
        <v>740</v>
      </c>
      <c r="D13" s="14" t="s">
        <v>111</v>
      </c>
      <c r="E13" s="14" t="s">
        <v>741</v>
      </c>
      <c r="G13" s="17">
        <v>1197428</v>
      </c>
      <c r="H13" s="1" t="s">
        <v>776</v>
      </c>
      <c r="I13" s="19">
        <v>680000</v>
      </c>
      <c r="J13" s="17">
        <v>239400</v>
      </c>
      <c r="K13" s="6"/>
      <c r="L13" s="14" t="s">
        <v>19</v>
      </c>
      <c r="M13" s="6">
        <f t="shared" si="0"/>
        <v>517428</v>
      </c>
      <c r="N13" s="14" t="s">
        <v>29</v>
      </c>
      <c r="O13" s="6">
        <f t="shared" si="1"/>
        <v>129357</v>
      </c>
      <c r="P13" s="6">
        <f t="shared" si="2"/>
        <v>498114</v>
      </c>
      <c r="Q13" s="14" t="s">
        <v>20</v>
      </c>
      <c r="R13" s="2">
        <v>45965</v>
      </c>
      <c r="S13" s="14" t="s">
        <v>777</v>
      </c>
    </row>
    <row r="14" spans="1:30" ht="41.25" x14ac:dyDescent="0.2">
      <c r="A14" s="42">
        <v>45953</v>
      </c>
      <c r="B14" s="14" t="s">
        <v>746</v>
      </c>
      <c r="C14" s="14" t="s">
        <v>744</v>
      </c>
      <c r="D14" s="14" t="s">
        <v>467</v>
      </c>
      <c r="E14" s="14" t="s">
        <v>742</v>
      </c>
      <c r="G14" s="17">
        <v>342150</v>
      </c>
      <c r="H14" s="1" t="s">
        <v>747</v>
      </c>
      <c r="I14" s="19">
        <v>64700</v>
      </c>
      <c r="J14" s="17">
        <v>68400</v>
      </c>
      <c r="K14" s="6"/>
      <c r="L14" s="14" t="s">
        <v>26</v>
      </c>
      <c r="M14" s="6">
        <f t="shared" si="0"/>
        <v>277450</v>
      </c>
      <c r="N14" s="14" t="s">
        <v>21</v>
      </c>
      <c r="O14" s="6">
        <f t="shared" si="1"/>
        <v>138725</v>
      </c>
      <c r="P14" s="6">
        <f t="shared" si="2"/>
        <v>207125</v>
      </c>
      <c r="Q14" s="14" t="s">
        <v>20</v>
      </c>
      <c r="R14" s="2">
        <v>45953</v>
      </c>
      <c r="S14" s="14" t="s">
        <v>748</v>
      </c>
    </row>
    <row r="15" spans="1:30" ht="27.75" x14ac:dyDescent="0.2">
      <c r="A15" s="42">
        <v>45953</v>
      </c>
      <c r="B15" s="14" t="s">
        <v>750</v>
      </c>
      <c r="C15" s="14" t="s">
        <v>751</v>
      </c>
      <c r="D15" s="14" t="s">
        <v>111</v>
      </c>
      <c r="E15" s="14" t="s">
        <v>752</v>
      </c>
      <c r="F15" s="44">
        <v>171061</v>
      </c>
      <c r="G15" s="17"/>
      <c r="H15" s="1"/>
      <c r="I15" s="19"/>
      <c r="J15" s="17">
        <v>34200</v>
      </c>
      <c r="K15" s="6"/>
      <c r="L15" s="14" t="s">
        <v>19</v>
      </c>
      <c r="M15" s="6">
        <f t="shared" si="0"/>
        <v>171061</v>
      </c>
      <c r="N15" s="14" t="s">
        <v>21</v>
      </c>
      <c r="O15" s="6">
        <f t="shared" si="1"/>
        <v>85530.5</v>
      </c>
      <c r="P15" s="6">
        <f t="shared" si="2"/>
        <v>119730.5</v>
      </c>
      <c r="Q15" s="14" t="s">
        <v>20</v>
      </c>
      <c r="R15" s="2">
        <v>45957</v>
      </c>
      <c r="S15" s="14" t="s">
        <v>761</v>
      </c>
    </row>
    <row r="16" spans="1:30" ht="27.75" x14ac:dyDescent="0.2">
      <c r="A16" s="42">
        <v>45957</v>
      </c>
      <c r="B16" s="14" t="s">
        <v>753</v>
      </c>
      <c r="C16" s="14" t="s">
        <v>754</v>
      </c>
      <c r="D16" s="14" t="s">
        <v>31</v>
      </c>
      <c r="E16" s="14" t="s">
        <v>755</v>
      </c>
      <c r="F16" s="44">
        <v>90000</v>
      </c>
      <c r="G16" s="17"/>
      <c r="H16" s="1"/>
      <c r="I16" s="19"/>
      <c r="J16" s="17"/>
      <c r="K16" s="6"/>
      <c r="L16" s="14" t="s">
        <v>26</v>
      </c>
      <c r="M16" s="6">
        <f t="shared" si="0"/>
        <v>90000</v>
      </c>
      <c r="N16" s="14" t="s">
        <v>21</v>
      </c>
      <c r="O16" s="6">
        <f t="shared" si="1"/>
        <v>45000</v>
      </c>
      <c r="P16" s="6">
        <f t="shared" si="2"/>
        <v>45000</v>
      </c>
      <c r="Q16" s="14" t="s">
        <v>20</v>
      </c>
      <c r="R16" s="2">
        <v>45957</v>
      </c>
      <c r="S16" s="14" t="s">
        <v>760</v>
      </c>
    </row>
    <row r="17" spans="1:19" ht="27.75" x14ac:dyDescent="0.2">
      <c r="A17" s="42">
        <v>45958</v>
      </c>
      <c r="B17" s="14" t="s">
        <v>756</v>
      </c>
      <c r="C17" s="14" t="s">
        <v>757</v>
      </c>
      <c r="D17" s="14" t="s">
        <v>758</v>
      </c>
      <c r="E17" s="14" t="s">
        <v>759</v>
      </c>
      <c r="G17" s="17">
        <v>456163</v>
      </c>
      <c r="H17" s="1"/>
      <c r="I17" s="19"/>
      <c r="J17" s="17">
        <v>91200</v>
      </c>
      <c r="K17" s="6"/>
      <c r="L17" s="14" t="s">
        <v>19</v>
      </c>
      <c r="M17" s="6">
        <f t="shared" si="0"/>
        <v>456163</v>
      </c>
      <c r="N17" s="14" t="s">
        <v>21</v>
      </c>
      <c r="O17" s="6">
        <f t="shared" si="1"/>
        <v>228081.5</v>
      </c>
      <c r="P17" s="6">
        <f t="shared" si="2"/>
        <v>319281.5</v>
      </c>
      <c r="Q17" s="14" t="s">
        <v>20</v>
      </c>
      <c r="R17" s="2">
        <v>46007</v>
      </c>
      <c r="S17" s="14" t="s">
        <v>893</v>
      </c>
    </row>
    <row r="18" spans="1:19" ht="41.25" x14ac:dyDescent="0.2">
      <c r="A18" s="42">
        <v>45958</v>
      </c>
      <c r="B18" s="14" t="s">
        <v>723</v>
      </c>
      <c r="C18" s="14"/>
      <c r="D18" s="14" t="s">
        <v>724</v>
      </c>
      <c r="E18" s="14" t="s">
        <v>762</v>
      </c>
      <c r="G18" s="17"/>
      <c r="H18" s="1"/>
      <c r="I18" s="19"/>
      <c r="J18" s="17"/>
      <c r="K18" s="6"/>
      <c r="L18" s="14"/>
      <c r="M18" s="6">
        <f t="shared" si="0"/>
        <v>0</v>
      </c>
      <c r="N18" s="14"/>
      <c r="O18" s="6" t="str">
        <f t="shared" si="1"/>
        <v/>
      </c>
      <c r="P18" s="6">
        <f t="shared" si="2"/>
        <v>0</v>
      </c>
      <c r="Q18" s="14" t="s">
        <v>45</v>
      </c>
      <c r="R18" s="2"/>
      <c r="S18" s="14"/>
    </row>
    <row r="19" spans="1:19" ht="27.75" x14ac:dyDescent="0.2">
      <c r="A19" s="42">
        <v>45959</v>
      </c>
      <c r="B19" s="14" t="s">
        <v>417</v>
      </c>
      <c r="C19" s="14" t="s">
        <v>763</v>
      </c>
      <c r="D19" s="14" t="s">
        <v>418</v>
      </c>
      <c r="E19" s="14" t="s">
        <v>764</v>
      </c>
      <c r="G19" s="17">
        <v>2005217</v>
      </c>
      <c r="H19" s="1" t="s">
        <v>849</v>
      </c>
      <c r="I19" s="19">
        <v>30000</v>
      </c>
      <c r="J19" s="17">
        <v>400900</v>
      </c>
      <c r="K19" s="6"/>
      <c r="L19" s="14" t="s">
        <v>19</v>
      </c>
      <c r="M19" s="6">
        <f t="shared" si="0"/>
        <v>1975217</v>
      </c>
      <c r="N19" s="14" t="s">
        <v>29</v>
      </c>
      <c r="O19" s="6">
        <f t="shared" si="1"/>
        <v>493804.25</v>
      </c>
      <c r="P19" s="6">
        <f t="shared" si="2"/>
        <v>1388508.5</v>
      </c>
      <c r="Q19" s="14" t="s">
        <v>20</v>
      </c>
      <c r="R19" s="2">
        <v>45986</v>
      </c>
      <c r="S19" s="14" t="s">
        <v>850</v>
      </c>
    </row>
    <row r="20" spans="1:19" ht="27.75" x14ac:dyDescent="0.2">
      <c r="A20" s="42">
        <v>45960</v>
      </c>
      <c r="B20" s="14" t="s">
        <v>766</v>
      </c>
      <c r="C20" s="14"/>
      <c r="D20" s="14" t="s">
        <v>107</v>
      </c>
      <c r="E20" s="14" t="s">
        <v>767</v>
      </c>
      <c r="G20" s="17">
        <v>332619</v>
      </c>
      <c r="H20" s="1" t="s">
        <v>768</v>
      </c>
      <c r="I20" s="19">
        <v>74000</v>
      </c>
      <c r="J20" s="17">
        <v>66500</v>
      </c>
      <c r="K20" s="6"/>
      <c r="L20" s="14" t="s">
        <v>19</v>
      </c>
      <c r="M20" s="6">
        <f t="shared" si="0"/>
        <v>258619</v>
      </c>
      <c r="N20" s="14" t="s">
        <v>21</v>
      </c>
      <c r="O20" s="6">
        <f t="shared" si="1"/>
        <v>129309.5</v>
      </c>
      <c r="P20" s="6">
        <f t="shared" si="2"/>
        <v>195809.5</v>
      </c>
      <c r="Q20" s="14" t="s">
        <v>20</v>
      </c>
      <c r="R20" s="2">
        <v>45965</v>
      </c>
      <c r="S20" s="14" t="s">
        <v>806</v>
      </c>
    </row>
    <row r="21" spans="1:19" ht="27.75" x14ac:dyDescent="0.2">
      <c r="A21" s="42">
        <v>45961</v>
      </c>
      <c r="B21" s="14" t="s">
        <v>769</v>
      </c>
      <c r="C21" s="14" t="s">
        <v>770</v>
      </c>
      <c r="D21" s="14" t="s">
        <v>771</v>
      </c>
      <c r="E21" s="14" t="s">
        <v>772</v>
      </c>
      <c r="G21" s="17"/>
      <c r="H21" s="1"/>
      <c r="I21" s="19"/>
      <c r="J21" s="17"/>
      <c r="K21" s="6"/>
      <c r="L21" s="14"/>
      <c r="M21" s="6">
        <f t="shared" si="0"/>
        <v>0</v>
      </c>
      <c r="N21" s="14"/>
      <c r="O21" s="6" t="str">
        <f t="shared" si="1"/>
        <v/>
      </c>
      <c r="P21" s="6">
        <f t="shared" si="2"/>
        <v>0</v>
      </c>
      <c r="Q21" s="14" t="s">
        <v>50</v>
      </c>
      <c r="R21" s="2"/>
      <c r="S21" s="14"/>
    </row>
    <row r="22" spans="1:19" x14ac:dyDescent="0.2">
      <c r="A22" s="42"/>
      <c r="B22" s="14"/>
      <c r="C22" s="14"/>
      <c r="D22" s="14"/>
      <c r="E22" s="14"/>
      <c r="G22" s="17"/>
      <c r="H22" s="1"/>
      <c r="I22" s="19"/>
      <c r="J22" s="17"/>
      <c r="K22" s="6"/>
      <c r="L22" s="14"/>
      <c r="M22" s="6">
        <f t="shared" si="0"/>
        <v>0</v>
      </c>
      <c r="N22" s="14"/>
      <c r="O22" s="6" t="str">
        <f t="shared" si="1"/>
        <v/>
      </c>
      <c r="P22" s="6">
        <f t="shared" si="2"/>
        <v>0</v>
      </c>
      <c r="Q22" s="14"/>
      <c r="R22" s="2"/>
      <c r="S22" s="14"/>
    </row>
    <row r="23" spans="1:19" x14ac:dyDescent="0.2">
      <c r="A23" s="42"/>
      <c r="B23" s="14"/>
      <c r="C23" s="14"/>
      <c r="D23" s="14"/>
      <c r="E23" s="14"/>
      <c r="G23" s="17"/>
      <c r="H23" s="1"/>
      <c r="I23" s="19"/>
      <c r="J23" s="17"/>
      <c r="K23" s="6"/>
      <c r="L23" s="14"/>
      <c r="M23" s="6">
        <f t="shared" si="0"/>
        <v>0</v>
      </c>
      <c r="N23" s="14"/>
      <c r="O23" s="6" t="str">
        <f t="shared" si="1"/>
        <v/>
      </c>
      <c r="P23" s="6">
        <f t="shared" si="2"/>
        <v>0</v>
      </c>
      <c r="Q23" s="14"/>
      <c r="R23" s="2"/>
      <c r="S23" s="14"/>
    </row>
    <row r="24" spans="1:19" x14ac:dyDescent="0.2">
      <c r="A24" s="42"/>
      <c r="B24" s="14"/>
      <c r="C24" s="14"/>
      <c r="D24" s="14"/>
      <c r="E24" s="14"/>
      <c r="G24" s="17"/>
      <c r="H24" s="1"/>
      <c r="I24" s="19"/>
      <c r="J24" s="17"/>
      <c r="K24" s="6"/>
      <c r="L24" s="14"/>
      <c r="M24" s="6">
        <f t="shared" si="0"/>
        <v>0</v>
      </c>
      <c r="N24" s="14"/>
      <c r="O24" s="6" t="str">
        <f t="shared" si="1"/>
        <v/>
      </c>
      <c r="P24" s="6">
        <f t="shared" si="2"/>
        <v>0</v>
      </c>
      <c r="Q24" s="14"/>
      <c r="R24" s="2"/>
      <c r="S24" s="14"/>
    </row>
    <row r="25" spans="1:19" x14ac:dyDescent="0.2">
      <c r="A25" s="42"/>
      <c r="B25" s="14"/>
      <c r="C25" s="14"/>
      <c r="D25" s="14"/>
      <c r="E25" s="14"/>
      <c r="G25" s="17"/>
      <c r="H25" s="1"/>
      <c r="I25" s="19"/>
      <c r="J25" s="17"/>
      <c r="K25" s="6"/>
      <c r="L25" s="14"/>
      <c r="M25" s="6">
        <f t="shared" si="0"/>
        <v>0</v>
      </c>
      <c r="N25" s="14"/>
      <c r="O25" s="6" t="str">
        <f t="shared" si="1"/>
        <v/>
      </c>
      <c r="P25" s="6">
        <f t="shared" si="2"/>
        <v>0</v>
      </c>
      <c r="Q25" s="14"/>
      <c r="R25" s="2"/>
      <c r="S25" s="14"/>
    </row>
    <row r="26" spans="1:19" x14ac:dyDescent="0.2">
      <c r="A26" s="42"/>
      <c r="B26" s="14"/>
      <c r="C26" s="14"/>
      <c r="D26" s="14"/>
      <c r="E26" s="14"/>
      <c r="G26" s="17"/>
      <c r="H26" s="1"/>
      <c r="I26" s="19"/>
      <c r="J26" s="17"/>
      <c r="K26" s="6"/>
      <c r="L26" s="14"/>
      <c r="M26" s="6">
        <f t="shared" si="0"/>
        <v>0</v>
      </c>
      <c r="N26" s="14"/>
      <c r="O26" s="6" t="str">
        <f t="shared" si="1"/>
        <v/>
      </c>
      <c r="P26" s="6">
        <f t="shared" si="2"/>
        <v>0</v>
      </c>
      <c r="Q26" s="14"/>
      <c r="R26" s="2"/>
      <c r="S26" s="14"/>
    </row>
    <row r="27" spans="1:19" x14ac:dyDescent="0.2">
      <c r="A27" s="42"/>
      <c r="B27" s="14"/>
      <c r="C27" s="14"/>
      <c r="D27" s="14"/>
      <c r="E27" s="14"/>
      <c r="G27" s="17"/>
      <c r="H27" s="1"/>
      <c r="I27" s="19"/>
      <c r="J27" s="17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2"/>
      <c r="S27" s="14"/>
    </row>
    <row r="28" spans="1:19" x14ac:dyDescent="0.2">
      <c r="A28" s="42"/>
      <c r="B28" s="14"/>
      <c r="C28" s="14"/>
      <c r="D28" s="14"/>
      <c r="E28" s="14"/>
      <c r="G28" s="17"/>
      <c r="H28" s="1"/>
      <c r="I28" s="19"/>
      <c r="J28" s="17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 t="shared" si="2"/>
        <v>0</v>
      </c>
      <c r="Q28" s="14"/>
      <c r="R28" s="2"/>
      <c r="S28" s="14"/>
    </row>
    <row r="29" spans="1:19" x14ac:dyDescent="0.2">
      <c r="A29" s="42"/>
      <c r="B29" s="14"/>
      <c r="C29" s="14"/>
      <c r="D29" s="14"/>
      <c r="E29" s="14"/>
      <c r="G29" s="17"/>
      <c r="H29" s="1"/>
      <c r="I29" s="19"/>
      <c r="J29" s="17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2"/>
      <c r="S29" s="14"/>
    </row>
    <row r="30" spans="1:19" x14ac:dyDescent="0.2">
      <c r="A30" s="42"/>
      <c r="B30" s="14"/>
      <c r="C30" s="14"/>
      <c r="D30" s="14"/>
      <c r="E30" s="14"/>
      <c r="G30" s="17"/>
      <c r="H30" s="1"/>
      <c r="I30" s="19"/>
      <c r="J30" s="17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2"/>
      <c r="S30" s="14"/>
    </row>
    <row r="31" spans="1:19" x14ac:dyDescent="0.2">
      <c r="A31" s="42"/>
      <c r="B31" s="14"/>
      <c r="C31" s="14"/>
      <c r="D31" s="14"/>
      <c r="E31" s="14"/>
      <c r="G31" s="17"/>
      <c r="H31" s="1"/>
      <c r="I31" s="19"/>
      <c r="J31" s="17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2"/>
      <c r="S31" s="14"/>
    </row>
    <row r="32" spans="1:19" x14ac:dyDescent="0.2">
      <c r="A32" s="42"/>
      <c r="B32" s="14"/>
      <c r="C32" s="14"/>
      <c r="D32" s="14"/>
      <c r="E32" s="14"/>
      <c r="G32" s="17"/>
      <c r="H32" s="1"/>
      <c r="I32" s="19"/>
      <c r="J32" s="17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2"/>
      <c r="S32" s="14"/>
    </row>
    <row r="33" spans="1:19" x14ac:dyDescent="0.2">
      <c r="A33" s="42"/>
      <c r="B33" s="14"/>
      <c r="C33" s="14"/>
      <c r="D33" s="14"/>
      <c r="E33" s="14"/>
      <c r="G33" s="17"/>
      <c r="H33" s="1"/>
      <c r="I33" s="19"/>
      <c r="J33" s="17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2"/>
      <c r="S33" s="14"/>
    </row>
    <row r="34" spans="1:19" x14ac:dyDescent="0.2">
      <c r="A34" s="42"/>
      <c r="B34" s="14"/>
      <c r="C34" s="14"/>
      <c r="D34" s="14"/>
      <c r="E34" s="14"/>
      <c r="G34" s="17"/>
      <c r="H34" s="1"/>
      <c r="I34" s="19"/>
      <c r="J34" s="17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2"/>
      <c r="S34" s="14"/>
    </row>
    <row r="35" spans="1:19" x14ac:dyDescent="0.2">
      <c r="A35" s="42"/>
      <c r="B35" s="14"/>
      <c r="C35" s="14"/>
      <c r="D35" s="14"/>
      <c r="E35" s="14"/>
      <c r="G35" s="17"/>
      <c r="H35" s="1"/>
      <c r="I35" s="19"/>
      <c r="J35" s="17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2"/>
      <c r="S35" s="14"/>
    </row>
    <row r="36" spans="1:19" x14ac:dyDescent="0.2">
      <c r="A36" s="42"/>
      <c r="B36" s="14"/>
      <c r="C36" s="14"/>
      <c r="D36" s="14"/>
      <c r="E36" s="14"/>
      <c r="G36" s="17"/>
      <c r="H36" s="1"/>
      <c r="I36" s="19"/>
      <c r="J36" s="17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2"/>
      <c r="S36" s="14"/>
    </row>
    <row r="37" spans="1:19" x14ac:dyDescent="0.2">
      <c r="A37" s="42"/>
      <c r="B37" s="14"/>
      <c r="C37" s="14"/>
      <c r="D37" s="14"/>
      <c r="E37" s="14"/>
      <c r="G37" s="17"/>
      <c r="H37" s="1"/>
      <c r="I37" s="19"/>
      <c r="J37" s="17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2"/>
      <c r="S37" s="14"/>
    </row>
    <row r="38" spans="1:19" x14ac:dyDescent="0.2">
      <c r="A38" s="42"/>
      <c r="B38" s="14"/>
      <c r="C38" s="14"/>
      <c r="D38" s="14"/>
      <c r="E38" s="14"/>
      <c r="G38" s="17"/>
      <c r="H38" s="1"/>
      <c r="I38" s="19"/>
      <c r="J38" s="17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2"/>
      <c r="S38" s="14"/>
    </row>
    <row r="39" spans="1:19" x14ac:dyDescent="0.2">
      <c r="A39" s="42"/>
      <c r="B39" s="14"/>
      <c r="C39" s="14"/>
      <c r="D39" s="14"/>
      <c r="E39" s="14"/>
      <c r="G39" s="17"/>
      <c r="H39" s="1"/>
      <c r="I39" s="19"/>
      <c r="J39" s="17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2"/>
      <c r="S39" s="14"/>
    </row>
    <row r="40" spans="1:19" x14ac:dyDescent="0.2">
      <c r="A40" s="42"/>
      <c r="B40" s="14"/>
      <c r="C40" s="14"/>
      <c r="D40" s="14"/>
      <c r="E40" s="14"/>
      <c r="G40" s="17"/>
      <c r="H40" s="1"/>
      <c r="I40" s="19"/>
      <c r="J40" s="17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2"/>
      <c r="S40" s="14"/>
    </row>
    <row r="41" spans="1:19" x14ac:dyDescent="0.2">
      <c r="A41" s="42"/>
      <c r="B41" s="14"/>
      <c r="C41" s="14"/>
      <c r="D41" s="14"/>
      <c r="E41" s="14"/>
      <c r="G41" s="17"/>
      <c r="H41" s="1"/>
      <c r="I41" s="19"/>
      <c r="J41" s="17"/>
      <c r="K41" s="6"/>
      <c r="L41" s="14"/>
      <c r="M41" s="6">
        <f t="shared" si="0"/>
        <v>0</v>
      </c>
      <c r="N41" s="14"/>
      <c r="O41" s="6" t="str">
        <f t="shared" si="1"/>
        <v/>
      </c>
      <c r="P41" s="6">
        <f t="shared" si="2"/>
        <v>0</v>
      </c>
      <c r="Q41" s="14"/>
      <c r="R41" s="2"/>
      <c r="S41" s="14"/>
    </row>
    <row r="42" spans="1:19" x14ac:dyDescent="0.2">
      <c r="A42" s="43" t="s">
        <v>119</v>
      </c>
      <c r="F42" s="45"/>
      <c r="S42" s="15">
        <f>SUBTOTAL(103,Tabla14567891011[[NOTAS ]])</f>
        <v>15</v>
      </c>
    </row>
  </sheetData>
  <conditionalFormatting sqref="A2:S42">
    <cfRule type="expression" dxfId="33" priority="1" stopIfTrue="1">
      <formula>$Q2="YA RELACIONADO"</formula>
    </cfRule>
    <cfRule type="expression" dxfId="32" priority="2" stopIfTrue="1">
      <formula>$Q2="COTIZACIÓN"</formula>
    </cfRule>
    <cfRule type="expression" dxfId="31" priority="3" stopIfTrue="1">
      <formula>$Q2="NO PAGARON DOMICILIO"</formula>
    </cfRule>
    <cfRule type="expression" dxfId="30" priority="4" stopIfTrue="1">
      <formula>$Q2="NO SE COBRA DOMICILIO"</formula>
    </cfRule>
    <cfRule type="expression" dxfId="29" priority="5" stopIfTrue="1">
      <formula>$Q2="GARANTIA"</formula>
    </cfRule>
    <cfRule type="expression" dxfId="28" priority="6" stopIfTrue="1">
      <formula>$Q2="CANCELADO"</formula>
    </cfRule>
  </conditionalFormatting>
  <dataValidations count="3">
    <dataValidation type="list" allowBlank="1" showInputMessage="1" showErrorMessage="1" sqref="Q2:Q41" xr:uid="{732BDDAB-DDB4-4E39-B1B6-4D289E5B6FA3}">
      <formula1>$AC$1:$AC$8</formula1>
    </dataValidation>
    <dataValidation type="list" allowBlank="1" showInputMessage="1" showErrorMessage="1" sqref="L2:L41" xr:uid="{999BF808-F994-4F35-858F-E56503F187D6}">
      <formula1>$AB$1:$AB$2</formula1>
    </dataValidation>
    <dataValidation type="list" allowBlank="1" showInputMessage="1" showErrorMessage="1" sqref="N2:N41" xr:uid="{33009769-5E63-467C-A9E1-D7848ACB30DA}">
      <formula1>$AD$1:$AD$2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F2CD-17C4-4696-AFD2-A75444963AA5}">
  <sheetPr codeName="Hoja11">
    <tabColor rgb="FFC00000"/>
  </sheetPr>
  <dimension ref="A1:AD41"/>
  <sheetViews>
    <sheetView topLeftCell="A9" zoomScaleNormal="100" workbookViewId="0">
      <selection activeCell="S23" sqref="S23"/>
    </sheetView>
  </sheetViews>
  <sheetFormatPr defaultColWidth="10.76171875" defaultRowHeight="15" x14ac:dyDescent="0.2"/>
  <cols>
    <col min="1" max="1" width="33.765625" style="3" customWidth="1"/>
    <col min="2" max="2" width="23.9453125" style="15" customWidth="1"/>
    <col min="3" max="3" width="17.484375" style="15" customWidth="1"/>
    <col min="4" max="4" width="18.5625" customWidth="1"/>
    <col min="5" max="5" width="42.23828125" style="15" customWidth="1"/>
    <col min="6" max="6" width="17.08203125" style="44" customWidth="1"/>
    <col min="7" max="7" width="16.41015625" style="18" customWidth="1"/>
    <col min="8" max="8" width="39.546875" customWidth="1"/>
    <col min="9" max="9" width="19.234375" style="47" customWidth="1"/>
    <col min="10" max="10" width="11.56640625" style="18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12" customWidth="1"/>
    <col min="18" max="18" width="36.58984375" style="3" customWidth="1"/>
    <col min="19" max="19" width="47.62109375" style="15" customWidth="1"/>
    <col min="20" max="20" width="10.76171875" style="15"/>
    <col min="28" max="28" width="17.75390625" customWidth="1"/>
    <col min="29" max="29" width="26.36328125" customWidth="1"/>
  </cols>
  <sheetData>
    <row r="1" spans="1:30" x14ac:dyDescent="0.2">
      <c r="A1" s="2" t="s">
        <v>0</v>
      </c>
      <c r="B1" s="14" t="s">
        <v>1</v>
      </c>
      <c r="C1" s="14" t="s">
        <v>2</v>
      </c>
      <c r="D1" s="1" t="s">
        <v>3</v>
      </c>
      <c r="E1" s="14" t="s">
        <v>4</v>
      </c>
      <c r="F1" s="44" t="s">
        <v>5</v>
      </c>
      <c r="G1" s="17" t="s">
        <v>6</v>
      </c>
      <c r="H1" s="1" t="s">
        <v>7</v>
      </c>
      <c r="I1" s="46" t="s">
        <v>8</v>
      </c>
      <c r="J1" s="17" t="s">
        <v>9</v>
      </c>
      <c r="K1" s="6" t="s">
        <v>10</v>
      </c>
      <c r="L1" s="1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2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ht="27.75" x14ac:dyDescent="0.2">
      <c r="A2" s="2">
        <v>45965</v>
      </c>
      <c r="B2" s="14" t="s">
        <v>773</v>
      </c>
      <c r="C2" s="14" t="s">
        <v>774</v>
      </c>
      <c r="D2" s="1">
        <v>401</v>
      </c>
      <c r="E2" s="14" t="s">
        <v>775</v>
      </c>
      <c r="F2" s="44">
        <v>50000</v>
      </c>
      <c r="G2" s="17"/>
      <c r="H2" s="1" t="s">
        <v>332</v>
      </c>
      <c r="I2" s="46">
        <v>10000</v>
      </c>
      <c r="J2" s="17"/>
      <c r="K2" s="6"/>
      <c r="L2" s="14" t="s">
        <v>19</v>
      </c>
      <c r="M2" s="6">
        <f t="shared" ref="M2:M40" si="0">(F2+G2-I2-K2)</f>
        <v>40000</v>
      </c>
      <c r="N2" s="14" t="s">
        <v>21</v>
      </c>
      <c r="O2" s="6">
        <f t="shared" ref="O2:O40" si="1">IF(N2="X25%",M2*0.25,IF(N2="X50%",M2/2,""))</f>
        <v>20000</v>
      </c>
      <c r="P2" s="6">
        <f t="shared" ref="P2:P40" si="2">(M2/2+J2)</f>
        <v>20000</v>
      </c>
      <c r="Q2" s="14" t="s">
        <v>20</v>
      </c>
      <c r="R2" s="2">
        <v>45967</v>
      </c>
      <c r="S2" s="14" t="s">
        <v>786</v>
      </c>
      <c r="AB2" s="1" t="s">
        <v>26</v>
      </c>
      <c r="AC2" s="14" t="s">
        <v>28</v>
      </c>
      <c r="AD2" s="14" t="s">
        <v>29</v>
      </c>
    </row>
    <row r="3" spans="1:30" x14ac:dyDescent="0.2">
      <c r="A3" s="2">
        <v>45968</v>
      </c>
      <c r="B3" s="14" t="s">
        <v>779</v>
      </c>
      <c r="C3" s="14"/>
      <c r="D3" s="1" t="s">
        <v>31</v>
      </c>
      <c r="E3" s="14" t="s">
        <v>780</v>
      </c>
      <c r="G3" s="17">
        <v>171061</v>
      </c>
      <c r="H3" s="1" t="s">
        <v>781</v>
      </c>
      <c r="I3" s="46">
        <v>70000</v>
      </c>
      <c r="J3" s="17">
        <v>34200</v>
      </c>
      <c r="K3" s="6"/>
      <c r="L3" s="14" t="s">
        <v>19</v>
      </c>
      <c r="M3" s="6">
        <f t="shared" si="0"/>
        <v>101061</v>
      </c>
      <c r="N3" s="14" t="s">
        <v>21</v>
      </c>
      <c r="O3" s="6">
        <f t="shared" si="1"/>
        <v>50530.5</v>
      </c>
      <c r="P3" s="6">
        <f t="shared" si="2"/>
        <v>84730.5</v>
      </c>
      <c r="Q3" s="14" t="s">
        <v>20</v>
      </c>
      <c r="R3" s="2">
        <v>45968</v>
      </c>
      <c r="S3" s="14" t="s">
        <v>785</v>
      </c>
      <c r="AC3" s="14" t="s">
        <v>33</v>
      </c>
    </row>
    <row r="4" spans="1:30" ht="27.75" x14ac:dyDescent="0.2">
      <c r="A4" s="2">
        <v>45968</v>
      </c>
      <c r="B4" s="14" t="s">
        <v>782</v>
      </c>
      <c r="C4" s="14" t="s">
        <v>783</v>
      </c>
      <c r="D4" s="1" t="s">
        <v>107</v>
      </c>
      <c r="E4" s="14" t="s">
        <v>784</v>
      </c>
      <c r="F4" s="44">
        <v>40000</v>
      </c>
      <c r="G4" s="17"/>
      <c r="H4" s="1"/>
      <c r="I4" s="46"/>
      <c r="J4" s="17"/>
      <c r="K4" s="6"/>
      <c r="L4" s="14" t="s">
        <v>19</v>
      </c>
      <c r="M4" s="6">
        <f t="shared" si="0"/>
        <v>40000</v>
      </c>
      <c r="N4" s="14" t="s">
        <v>21</v>
      </c>
      <c r="O4" s="6">
        <f t="shared" si="1"/>
        <v>20000</v>
      </c>
      <c r="P4" s="6">
        <f t="shared" si="2"/>
        <v>20000</v>
      </c>
      <c r="Q4" s="14" t="s">
        <v>20</v>
      </c>
      <c r="R4" s="2">
        <v>45968</v>
      </c>
      <c r="S4" s="14" t="s">
        <v>786</v>
      </c>
      <c r="AC4" s="14" t="s">
        <v>35</v>
      </c>
    </row>
    <row r="5" spans="1:30" x14ac:dyDescent="0.2">
      <c r="A5" s="2">
        <v>45968</v>
      </c>
      <c r="B5" s="14" t="s">
        <v>787</v>
      </c>
      <c r="C5" s="14"/>
      <c r="D5" s="1" t="s">
        <v>788</v>
      </c>
      <c r="E5" s="14" t="s">
        <v>789</v>
      </c>
      <c r="G5" s="17">
        <v>150000</v>
      </c>
      <c r="H5" s="1"/>
      <c r="I5" s="46"/>
      <c r="J5" s="17"/>
      <c r="K5" s="6"/>
      <c r="L5" s="14" t="s">
        <v>26</v>
      </c>
      <c r="M5" s="6">
        <f t="shared" si="0"/>
        <v>150000</v>
      </c>
      <c r="N5" s="14" t="s">
        <v>21</v>
      </c>
      <c r="O5" s="6">
        <f t="shared" si="1"/>
        <v>75000</v>
      </c>
      <c r="P5" s="6">
        <f t="shared" si="2"/>
        <v>75000</v>
      </c>
      <c r="Q5" s="14" t="s">
        <v>20</v>
      </c>
      <c r="R5" s="2">
        <v>45968</v>
      </c>
      <c r="S5" s="14" t="s">
        <v>738</v>
      </c>
      <c r="AC5" s="14" t="s">
        <v>39</v>
      </c>
    </row>
    <row r="6" spans="1:30" ht="27.75" x14ac:dyDescent="0.2">
      <c r="A6" s="2">
        <v>45971</v>
      </c>
      <c r="B6" s="14" t="s">
        <v>790</v>
      </c>
      <c r="C6" s="14" t="s">
        <v>791</v>
      </c>
      <c r="D6" s="1" t="s">
        <v>107</v>
      </c>
      <c r="E6" s="14" t="s">
        <v>792</v>
      </c>
      <c r="G6" s="17">
        <v>361129</v>
      </c>
      <c r="H6" s="1"/>
      <c r="I6" s="46"/>
      <c r="J6" s="17">
        <v>72200</v>
      </c>
      <c r="K6" s="6"/>
      <c r="L6" s="14" t="s">
        <v>19</v>
      </c>
      <c r="M6" s="6">
        <f t="shared" si="0"/>
        <v>361129</v>
      </c>
      <c r="N6" s="14" t="s">
        <v>21</v>
      </c>
      <c r="O6" s="6">
        <f t="shared" si="1"/>
        <v>180564.5</v>
      </c>
      <c r="P6" s="6">
        <f t="shared" si="2"/>
        <v>252764.5</v>
      </c>
      <c r="Q6" s="14" t="s">
        <v>20</v>
      </c>
      <c r="R6" s="2">
        <v>45982</v>
      </c>
      <c r="S6" s="14" t="s">
        <v>834</v>
      </c>
      <c r="AC6" s="14" t="s">
        <v>45</v>
      </c>
    </row>
    <row r="7" spans="1:30" ht="27.75" x14ac:dyDescent="0.2">
      <c r="A7" s="2">
        <v>45971</v>
      </c>
      <c r="B7" s="14" t="s">
        <v>793</v>
      </c>
      <c r="C7" s="14"/>
      <c r="D7" s="1" t="s">
        <v>92</v>
      </c>
      <c r="E7" s="14" t="s">
        <v>794</v>
      </c>
      <c r="F7" s="44">
        <v>90000</v>
      </c>
      <c r="G7" s="17"/>
      <c r="H7" s="1"/>
      <c r="I7" s="46"/>
      <c r="J7" s="17"/>
      <c r="K7" s="6"/>
      <c r="L7" s="14" t="s">
        <v>26</v>
      </c>
      <c r="M7" s="6">
        <f t="shared" si="0"/>
        <v>90000</v>
      </c>
      <c r="N7" s="14" t="s">
        <v>21</v>
      </c>
      <c r="O7" s="6">
        <f t="shared" si="1"/>
        <v>45000</v>
      </c>
      <c r="P7" s="6">
        <f t="shared" si="2"/>
        <v>45000</v>
      </c>
      <c r="Q7" s="14" t="s">
        <v>20</v>
      </c>
      <c r="R7" s="2">
        <v>45971</v>
      </c>
      <c r="S7" s="14" t="s">
        <v>738</v>
      </c>
      <c r="AC7" s="14" t="s">
        <v>50</v>
      </c>
    </row>
    <row r="8" spans="1:30" ht="27.75" x14ac:dyDescent="0.2">
      <c r="A8" s="2">
        <v>45972</v>
      </c>
      <c r="B8" s="14" t="s">
        <v>795</v>
      </c>
      <c r="C8" s="14" t="s">
        <v>796</v>
      </c>
      <c r="D8" s="1" t="s">
        <v>797</v>
      </c>
      <c r="E8" s="14" t="s">
        <v>798</v>
      </c>
      <c r="F8" s="44">
        <v>120000</v>
      </c>
      <c r="G8" s="17"/>
      <c r="H8" s="1"/>
      <c r="I8" s="46"/>
      <c r="J8" s="17"/>
      <c r="K8" s="6"/>
      <c r="L8" s="14" t="s">
        <v>26</v>
      </c>
      <c r="M8" s="6">
        <f t="shared" si="0"/>
        <v>120000</v>
      </c>
      <c r="N8" s="14" t="s">
        <v>21</v>
      </c>
      <c r="O8" s="6">
        <f t="shared" si="1"/>
        <v>60000</v>
      </c>
      <c r="P8" s="6">
        <f t="shared" si="2"/>
        <v>60000</v>
      </c>
      <c r="Q8" s="14" t="s">
        <v>20</v>
      </c>
      <c r="R8" s="2">
        <v>45973</v>
      </c>
      <c r="S8" s="14" t="s">
        <v>804</v>
      </c>
    </row>
    <row r="9" spans="1:30" ht="27.75" x14ac:dyDescent="0.2">
      <c r="A9" s="2">
        <v>45973</v>
      </c>
      <c r="B9" s="14" t="s">
        <v>799</v>
      </c>
      <c r="C9" s="14"/>
      <c r="D9" s="1" t="s">
        <v>31</v>
      </c>
      <c r="E9" s="14" t="s">
        <v>800</v>
      </c>
      <c r="G9" s="17">
        <v>90000</v>
      </c>
      <c r="H9" s="1"/>
      <c r="I9" s="46"/>
      <c r="J9" s="17"/>
      <c r="K9" s="6"/>
      <c r="L9" s="14" t="s">
        <v>26</v>
      </c>
      <c r="M9" s="6">
        <f t="shared" si="0"/>
        <v>90000</v>
      </c>
      <c r="N9" s="14" t="s">
        <v>21</v>
      </c>
      <c r="O9" s="6">
        <f t="shared" si="1"/>
        <v>45000</v>
      </c>
      <c r="P9" s="6">
        <f t="shared" si="2"/>
        <v>45000</v>
      </c>
      <c r="Q9" s="14" t="s">
        <v>20</v>
      </c>
      <c r="R9" s="2">
        <v>45973</v>
      </c>
      <c r="S9" s="14" t="s">
        <v>804</v>
      </c>
    </row>
    <row r="10" spans="1:30" x14ac:dyDescent="0.2">
      <c r="A10" s="2">
        <v>45973</v>
      </c>
      <c r="B10" s="14" t="s">
        <v>801</v>
      </c>
      <c r="C10" s="14" t="s">
        <v>802</v>
      </c>
      <c r="D10" s="1" t="s">
        <v>31</v>
      </c>
      <c r="E10" s="14" t="s">
        <v>803</v>
      </c>
      <c r="G10" s="17"/>
      <c r="H10" s="1"/>
      <c r="I10" s="46"/>
      <c r="J10" s="17"/>
      <c r="K10" s="6"/>
      <c r="L10" s="14" t="s">
        <v>19</v>
      </c>
      <c r="M10" s="6">
        <f t="shared" si="0"/>
        <v>0</v>
      </c>
      <c r="N10" s="14"/>
      <c r="O10" s="6" t="str">
        <f t="shared" si="1"/>
        <v/>
      </c>
      <c r="P10" s="6">
        <f t="shared" si="2"/>
        <v>0</v>
      </c>
      <c r="Q10" s="14" t="s">
        <v>35</v>
      </c>
      <c r="R10" s="2"/>
      <c r="S10" s="14" t="s">
        <v>854</v>
      </c>
    </row>
    <row r="11" spans="1:30" ht="27.75" x14ac:dyDescent="0.2">
      <c r="A11" s="2">
        <v>45975</v>
      </c>
      <c r="B11" s="14" t="s">
        <v>809</v>
      </c>
      <c r="C11" s="14"/>
      <c r="D11" s="1" t="s">
        <v>31</v>
      </c>
      <c r="E11" s="14" t="s">
        <v>810</v>
      </c>
      <c r="G11" s="17">
        <v>285102</v>
      </c>
      <c r="H11" s="1"/>
      <c r="I11" s="46"/>
      <c r="J11" s="17">
        <v>57000</v>
      </c>
      <c r="K11" s="6"/>
      <c r="L11" s="14" t="s">
        <v>19</v>
      </c>
      <c r="M11" s="6">
        <f t="shared" si="0"/>
        <v>285102</v>
      </c>
      <c r="N11" s="14" t="s">
        <v>21</v>
      </c>
      <c r="O11" s="6">
        <f t="shared" si="1"/>
        <v>142551</v>
      </c>
      <c r="P11" s="6">
        <f t="shared" si="2"/>
        <v>199551</v>
      </c>
      <c r="Q11" s="14" t="s">
        <v>20</v>
      </c>
      <c r="R11" s="2">
        <v>45979</v>
      </c>
      <c r="S11" s="14" t="s">
        <v>819</v>
      </c>
    </row>
    <row r="12" spans="1:30" ht="27.75" x14ac:dyDescent="0.2">
      <c r="A12" s="2">
        <v>45979</v>
      </c>
      <c r="B12" s="14" t="s">
        <v>811</v>
      </c>
      <c r="C12" s="14" t="s">
        <v>812</v>
      </c>
      <c r="D12" s="1" t="s">
        <v>92</v>
      </c>
      <c r="E12" s="14" t="s">
        <v>813</v>
      </c>
      <c r="G12" s="17">
        <v>140000</v>
      </c>
      <c r="H12" s="1"/>
      <c r="I12" s="46"/>
      <c r="J12" s="17"/>
      <c r="K12" s="6"/>
      <c r="L12" s="14" t="s">
        <v>26</v>
      </c>
      <c r="M12" s="6">
        <f t="shared" si="0"/>
        <v>140000</v>
      </c>
      <c r="N12" s="14" t="s">
        <v>21</v>
      </c>
      <c r="O12" s="6">
        <f t="shared" si="1"/>
        <v>70000</v>
      </c>
      <c r="P12" s="6">
        <f t="shared" si="2"/>
        <v>70000</v>
      </c>
      <c r="Q12" s="14" t="s">
        <v>20</v>
      </c>
      <c r="R12" s="2">
        <v>45979</v>
      </c>
      <c r="S12" s="14" t="s">
        <v>818</v>
      </c>
    </row>
    <row r="13" spans="1:30" ht="41.25" x14ac:dyDescent="0.2">
      <c r="A13" s="2">
        <v>45979</v>
      </c>
      <c r="B13" s="14" t="s">
        <v>814</v>
      </c>
      <c r="C13" s="14" t="s">
        <v>815</v>
      </c>
      <c r="D13" s="1" t="s">
        <v>92</v>
      </c>
      <c r="E13" s="14" t="s">
        <v>816</v>
      </c>
      <c r="G13" s="17">
        <v>600000</v>
      </c>
      <c r="H13" s="1" t="s">
        <v>817</v>
      </c>
      <c r="I13" s="46">
        <v>35600</v>
      </c>
      <c r="J13" s="17"/>
      <c r="K13" s="6"/>
      <c r="L13" s="14" t="s">
        <v>26</v>
      </c>
      <c r="M13" s="6">
        <f t="shared" si="0"/>
        <v>564400</v>
      </c>
      <c r="N13" s="14" t="s">
        <v>21</v>
      </c>
      <c r="O13" s="6">
        <f t="shared" si="1"/>
        <v>282200</v>
      </c>
      <c r="P13" s="6">
        <f t="shared" si="2"/>
        <v>282200</v>
      </c>
      <c r="Q13" s="14" t="s">
        <v>20</v>
      </c>
      <c r="R13" s="2">
        <v>45979</v>
      </c>
      <c r="S13" s="14" t="s">
        <v>818</v>
      </c>
    </row>
    <row r="14" spans="1:30" x14ac:dyDescent="0.2">
      <c r="A14" s="2">
        <v>45980</v>
      </c>
      <c r="B14" s="14" t="s">
        <v>820</v>
      </c>
      <c r="C14" s="14" t="s">
        <v>821</v>
      </c>
      <c r="D14" s="1" t="s">
        <v>822</v>
      </c>
      <c r="E14" s="14" t="s">
        <v>823</v>
      </c>
      <c r="F14" s="44">
        <v>58823</v>
      </c>
      <c r="G14" s="17"/>
      <c r="H14" s="1"/>
      <c r="I14" s="46"/>
      <c r="J14" s="17">
        <v>11176</v>
      </c>
      <c r="K14" s="6"/>
      <c r="L14" s="14" t="s">
        <v>26</v>
      </c>
      <c r="M14" s="6">
        <f t="shared" si="0"/>
        <v>58823</v>
      </c>
      <c r="N14" s="14" t="s">
        <v>21</v>
      </c>
      <c r="O14" s="6">
        <f t="shared" si="1"/>
        <v>29411.5</v>
      </c>
      <c r="P14" s="6">
        <f t="shared" si="2"/>
        <v>40587.5</v>
      </c>
      <c r="Q14" s="14" t="s">
        <v>20</v>
      </c>
      <c r="R14" s="2">
        <v>45980</v>
      </c>
      <c r="S14" s="14" t="s">
        <v>738</v>
      </c>
    </row>
    <row r="15" spans="1:30" ht="27.75" x14ac:dyDescent="0.2">
      <c r="A15" s="2">
        <v>45980</v>
      </c>
      <c r="B15" s="14" t="s">
        <v>824</v>
      </c>
      <c r="C15" s="14" t="s">
        <v>825</v>
      </c>
      <c r="D15" s="1" t="s">
        <v>219</v>
      </c>
      <c r="E15" s="14" t="s">
        <v>826</v>
      </c>
      <c r="G15" s="17">
        <v>681265</v>
      </c>
      <c r="H15" s="1"/>
      <c r="I15" s="46"/>
      <c r="J15" s="17">
        <v>148200</v>
      </c>
      <c r="K15" s="6"/>
      <c r="L15" s="14" t="s">
        <v>19</v>
      </c>
      <c r="M15" s="6">
        <f t="shared" si="0"/>
        <v>681265</v>
      </c>
      <c r="N15" s="14" t="s">
        <v>29</v>
      </c>
      <c r="O15" s="6">
        <f t="shared" si="1"/>
        <v>170316.25</v>
      </c>
      <c r="P15" s="6">
        <f t="shared" si="2"/>
        <v>488832.5</v>
      </c>
      <c r="Q15" s="14" t="s">
        <v>20</v>
      </c>
      <c r="R15" s="2">
        <v>45982</v>
      </c>
      <c r="S15" s="14" t="s">
        <v>834</v>
      </c>
    </row>
    <row r="16" spans="1:30" ht="27.75" x14ac:dyDescent="0.2">
      <c r="A16" s="2">
        <v>45980</v>
      </c>
      <c r="B16" s="14" t="s">
        <v>827</v>
      </c>
      <c r="C16" s="14" t="s">
        <v>828</v>
      </c>
      <c r="D16" s="1" t="s">
        <v>829</v>
      </c>
      <c r="E16" s="14" t="s">
        <v>830</v>
      </c>
      <c r="F16" s="44">
        <v>60000</v>
      </c>
      <c r="G16" s="17"/>
      <c r="H16" s="1"/>
      <c r="I16" s="46"/>
      <c r="J16" s="17">
        <v>11400</v>
      </c>
      <c r="K16" s="6"/>
      <c r="L16" s="14" t="s">
        <v>26</v>
      </c>
      <c r="M16" s="6">
        <f t="shared" si="0"/>
        <v>60000</v>
      </c>
      <c r="N16" s="14" t="s">
        <v>21</v>
      </c>
      <c r="O16" s="6">
        <f t="shared" si="1"/>
        <v>30000</v>
      </c>
      <c r="P16" s="6">
        <f t="shared" si="2"/>
        <v>41400</v>
      </c>
      <c r="Q16" s="14" t="s">
        <v>20</v>
      </c>
      <c r="R16" s="2">
        <v>45980</v>
      </c>
      <c r="S16" s="14" t="s">
        <v>738</v>
      </c>
    </row>
    <row r="17" spans="1:19" ht="81" x14ac:dyDescent="0.2">
      <c r="A17" s="2">
        <v>45982</v>
      </c>
      <c r="B17" s="14" t="s">
        <v>820</v>
      </c>
      <c r="C17" s="14" t="s">
        <v>821</v>
      </c>
      <c r="D17" s="1" t="s">
        <v>822</v>
      </c>
      <c r="E17" s="14" t="s">
        <v>831</v>
      </c>
      <c r="G17" s="17">
        <v>791579</v>
      </c>
      <c r="H17" s="1" t="s">
        <v>832</v>
      </c>
      <c r="I17" s="46">
        <v>10000</v>
      </c>
      <c r="J17" s="17">
        <v>155800</v>
      </c>
      <c r="K17" s="6"/>
      <c r="L17" s="14" t="s">
        <v>26</v>
      </c>
      <c r="M17" s="6">
        <f t="shared" si="0"/>
        <v>781579</v>
      </c>
      <c r="N17" s="14" t="s">
        <v>29</v>
      </c>
      <c r="O17" s="6">
        <f t="shared" si="1"/>
        <v>195394.75</v>
      </c>
      <c r="P17" s="6">
        <f t="shared" si="2"/>
        <v>546589.5</v>
      </c>
      <c r="Q17" s="14" t="s">
        <v>20</v>
      </c>
      <c r="R17" s="2">
        <v>45982</v>
      </c>
      <c r="S17" s="14" t="s">
        <v>833</v>
      </c>
    </row>
    <row r="18" spans="1:19" ht="27.75" x14ac:dyDescent="0.2">
      <c r="A18" s="2">
        <v>45985</v>
      </c>
      <c r="B18" s="14" t="s">
        <v>407</v>
      </c>
      <c r="C18" s="14" t="s">
        <v>835</v>
      </c>
      <c r="D18" s="1" t="s">
        <v>31</v>
      </c>
      <c r="E18" s="14" t="s">
        <v>836</v>
      </c>
      <c r="G18" s="17">
        <v>200000</v>
      </c>
      <c r="H18" s="1"/>
      <c r="I18" s="46"/>
      <c r="J18" s="17"/>
      <c r="K18" s="6"/>
      <c r="L18" s="14" t="s">
        <v>19</v>
      </c>
      <c r="M18" s="6">
        <f t="shared" si="0"/>
        <v>200000</v>
      </c>
      <c r="N18" s="14" t="s">
        <v>21</v>
      </c>
      <c r="O18" s="6">
        <f t="shared" si="1"/>
        <v>100000</v>
      </c>
      <c r="P18" s="6">
        <f t="shared" si="2"/>
        <v>100000</v>
      </c>
      <c r="Q18" s="14" t="s">
        <v>20</v>
      </c>
      <c r="R18" s="2">
        <v>45985</v>
      </c>
      <c r="S18" s="14" t="s">
        <v>837</v>
      </c>
    </row>
    <row r="19" spans="1:19" ht="41.25" x14ac:dyDescent="0.2">
      <c r="A19" s="2">
        <v>45985</v>
      </c>
      <c r="B19" s="14" t="s">
        <v>838</v>
      </c>
      <c r="C19" s="14"/>
      <c r="D19" s="1" t="s">
        <v>31</v>
      </c>
      <c r="E19" s="14" t="s">
        <v>839</v>
      </c>
      <c r="G19" s="17"/>
      <c r="H19" s="1"/>
      <c r="I19" s="46"/>
      <c r="J19" s="17"/>
      <c r="K19" s="6"/>
      <c r="L19" s="14"/>
      <c r="M19" s="6">
        <f t="shared" si="0"/>
        <v>0</v>
      </c>
      <c r="N19" s="14"/>
      <c r="O19" s="6" t="str">
        <f t="shared" si="1"/>
        <v/>
      </c>
      <c r="P19" s="6">
        <f t="shared" si="2"/>
        <v>0</v>
      </c>
      <c r="Q19" s="14" t="s">
        <v>45</v>
      </c>
      <c r="R19" s="2"/>
      <c r="S19" s="14" t="s">
        <v>840</v>
      </c>
    </row>
    <row r="20" spans="1:19" ht="27.75" x14ac:dyDescent="0.2">
      <c r="A20" s="2">
        <v>45986</v>
      </c>
      <c r="B20" s="14" t="s">
        <v>841</v>
      </c>
      <c r="C20" s="14"/>
      <c r="D20" s="1" t="s">
        <v>474</v>
      </c>
      <c r="E20" s="14" t="s">
        <v>868</v>
      </c>
      <c r="G20" s="17"/>
      <c r="H20" s="1" t="s">
        <v>842</v>
      </c>
      <c r="I20" s="46"/>
      <c r="J20" s="17"/>
      <c r="K20" s="6"/>
      <c r="L20" s="14" t="s">
        <v>19</v>
      </c>
      <c r="M20" s="6">
        <f t="shared" si="0"/>
        <v>0</v>
      </c>
      <c r="N20" s="14" t="s">
        <v>21</v>
      </c>
      <c r="O20" s="6">
        <f t="shared" si="1"/>
        <v>0</v>
      </c>
      <c r="P20" s="6">
        <f t="shared" si="2"/>
        <v>0</v>
      </c>
      <c r="Q20" s="14" t="s">
        <v>50</v>
      </c>
      <c r="R20" s="2"/>
      <c r="S20" s="14"/>
    </row>
    <row r="21" spans="1:19" ht="27.75" x14ac:dyDescent="0.2">
      <c r="A21" s="2">
        <v>45986</v>
      </c>
      <c r="B21" s="14" t="s">
        <v>843</v>
      </c>
      <c r="C21" s="14"/>
      <c r="D21" s="1" t="s">
        <v>107</v>
      </c>
      <c r="E21" s="14" t="s">
        <v>844</v>
      </c>
      <c r="F21" s="44">
        <v>67226</v>
      </c>
      <c r="G21" s="17"/>
      <c r="H21" s="1"/>
      <c r="I21" s="46"/>
      <c r="J21" s="17">
        <v>12773</v>
      </c>
      <c r="K21" s="6"/>
      <c r="L21" s="14" t="s">
        <v>26</v>
      </c>
      <c r="M21" s="6">
        <f t="shared" si="0"/>
        <v>67226</v>
      </c>
      <c r="N21" s="14" t="s">
        <v>21</v>
      </c>
      <c r="O21" s="6">
        <f t="shared" si="1"/>
        <v>33613</v>
      </c>
      <c r="P21" s="6">
        <f t="shared" si="2"/>
        <v>46386</v>
      </c>
      <c r="Q21" s="14" t="s">
        <v>20</v>
      </c>
      <c r="R21" s="2">
        <v>46000</v>
      </c>
      <c r="S21" s="14" t="s">
        <v>885</v>
      </c>
    </row>
    <row r="22" spans="1:19" ht="27.75" x14ac:dyDescent="0.2">
      <c r="A22" s="2">
        <v>45987</v>
      </c>
      <c r="B22" s="14" t="s">
        <v>845</v>
      </c>
      <c r="C22" s="14"/>
      <c r="D22" s="1" t="s">
        <v>31</v>
      </c>
      <c r="E22" s="14" t="s">
        <v>846</v>
      </c>
      <c r="F22" s="44">
        <v>80000</v>
      </c>
      <c r="G22" s="17"/>
      <c r="H22" s="1"/>
      <c r="I22" s="46"/>
      <c r="J22" s="17">
        <v>15200</v>
      </c>
      <c r="K22" s="6"/>
      <c r="L22" s="14" t="s">
        <v>19</v>
      </c>
      <c r="M22" s="6">
        <f t="shared" si="0"/>
        <v>80000</v>
      </c>
      <c r="N22" s="14" t="s">
        <v>21</v>
      </c>
      <c r="O22" s="6">
        <f t="shared" si="1"/>
        <v>40000</v>
      </c>
      <c r="P22" s="6">
        <f t="shared" si="2"/>
        <v>55200</v>
      </c>
      <c r="Q22" s="14" t="s">
        <v>20</v>
      </c>
      <c r="R22" s="2">
        <v>46013</v>
      </c>
      <c r="S22" s="14" t="s">
        <v>785</v>
      </c>
    </row>
    <row r="23" spans="1:19" x14ac:dyDescent="0.2">
      <c r="A23" s="2"/>
      <c r="B23" s="14"/>
      <c r="C23" s="14"/>
      <c r="D23" s="1"/>
      <c r="E23" s="14"/>
      <c r="G23" s="17"/>
      <c r="H23" s="1"/>
      <c r="I23" s="46"/>
      <c r="J23" s="17"/>
      <c r="K23" s="6"/>
      <c r="L23" s="14"/>
      <c r="M23" s="6">
        <f t="shared" si="0"/>
        <v>0</v>
      </c>
      <c r="N23" s="14"/>
      <c r="O23" s="6" t="str">
        <f t="shared" si="1"/>
        <v/>
      </c>
      <c r="P23" s="6">
        <f t="shared" si="2"/>
        <v>0</v>
      </c>
      <c r="Q23" s="14"/>
      <c r="R23" s="2"/>
      <c r="S23" s="14"/>
    </row>
    <row r="24" spans="1:19" x14ac:dyDescent="0.2">
      <c r="A24" s="2"/>
      <c r="B24" s="14"/>
      <c r="C24" s="14"/>
      <c r="D24" s="1"/>
      <c r="E24" s="14"/>
      <c r="G24" s="17"/>
      <c r="H24" s="1"/>
      <c r="I24" s="46"/>
      <c r="J24" s="17"/>
      <c r="K24" s="6"/>
      <c r="L24" s="14"/>
      <c r="M24" s="6">
        <f t="shared" si="0"/>
        <v>0</v>
      </c>
      <c r="N24" s="14"/>
      <c r="O24" s="6" t="str">
        <f t="shared" si="1"/>
        <v/>
      </c>
      <c r="P24" s="6">
        <f t="shared" si="2"/>
        <v>0</v>
      </c>
      <c r="Q24" s="14"/>
      <c r="R24" s="2"/>
      <c r="S24" s="14"/>
    </row>
    <row r="25" spans="1:19" x14ac:dyDescent="0.2">
      <c r="A25" s="2"/>
      <c r="B25" s="14"/>
      <c r="C25" s="14"/>
      <c r="D25" s="1"/>
      <c r="E25" s="14"/>
      <c r="G25" s="17"/>
      <c r="H25" s="1"/>
      <c r="I25" s="46"/>
      <c r="J25" s="17"/>
      <c r="K25" s="6"/>
      <c r="L25" s="14"/>
      <c r="M25" s="6">
        <f t="shared" si="0"/>
        <v>0</v>
      </c>
      <c r="N25" s="14"/>
      <c r="O25" s="6" t="str">
        <f t="shared" si="1"/>
        <v/>
      </c>
      <c r="P25" s="6">
        <f t="shared" si="2"/>
        <v>0</v>
      </c>
      <c r="Q25" s="14"/>
      <c r="R25" s="2"/>
      <c r="S25" s="14"/>
    </row>
    <row r="26" spans="1:19" x14ac:dyDescent="0.2">
      <c r="A26" s="2"/>
      <c r="B26" s="14"/>
      <c r="C26" s="14"/>
      <c r="D26" s="1"/>
      <c r="E26" s="14"/>
      <c r="G26" s="17"/>
      <c r="H26" s="1"/>
      <c r="I26" s="46"/>
      <c r="J26" s="17"/>
      <c r="K26" s="6"/>
      <c r="L26" s="14"/>
      <c r="M26" s="6">
        <f t="shared" si="0"/>
        <v>0</v>
      </c>
      <c r="N26" s="14"/>
      <c r="O26" s="6" t="str">
        <f t="shared" si="1"/>
        <v/>
      </c>
      <c r="P26" s="6">
        <f t="shared" si="2"/>
        <v>0</v>
      </c>
      <c r="Q26" s="14"/>
      <c r="R26" s="2"/>
      <c r="S26" s="14"/>
    </row>
    <row r="27" spans="1:19" x14ac:dyDescent="0.2">
      <c r="A27" s="2"/>
      <c r="B27" s="14"/>
      <c r="C27" s="14"/>
      <c r="D27" s="1"/>
      <c r="E27" s="14"/>
      <c r="G27" s="17"/>
      <c r="H27" s="1"/>
      <c r="I27" s="46"/>
      <c r="J27" s="17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2"/>
      <c r="S27" s="14"/>
    </row>
    <row r="28" spans="1:19" x14ac:dyDescent="0.2">
      <c r="A28" s="2"/>
      <c r="B28" s="14"/>
      <c r="C28" s="14"/>
      <c r="D28" s="1"/>
      <c r="E28" s="14"/>
      <c r="G28" s="17"/>
      <c r="H28" s="1"/>
      <c r="I28" s="46"/>
      <c r="J28" s="17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 t="shared" si="2"/>
        <v>0</v>
      </c>
      <c r="Q28" s="14"/>
      <c r="R28" s="2"/>
      <c r="S28" s="14"/>
    </row>
    <row r="29" spans="1:19" x14ac:dyDescent="0.2">
      <c r="A29" s="2"/>
      <c r="B29" s="14"/>
      <c r="C29" s="14"/>
      <c r="D29" s="1"/>
      <c r="E29" s="14"/>
      <c r="G29" s="17"/>
      <c r="H29" s="1"/>
      <c r="I29" s="46"/>
      <c r="J29" s="17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2"/>
      <c r="S29" s="14"/>
    </row>
    <row r="30" spans="1:19" x14ac:dyDescent="0.2">
      <c r="A30" s="2"/>
      <c r="B30" s="14"/>
      <c r="C30" s="14"/>
      <c r="D30" s="1"/>
      <c r="E30" s="14"/>
      <c r="G30" s="17"/>
      <c r="H30" s="1"/>
      <c r="I30" s="46"/>
      <c r="J30" s="17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2"/>
      <c r="S30" s="14"/>
    </row>
    <row r="31" spans="1:19" x14ac:dyDescent="0.2">
      <c r="A31" s="2"/>
      <c r="B31" s="14"/>
      <c r="C31" s="14"/>
      <c r="D31" s="1"/>
      <c r="E31" s="14"/>
      <c r="G31" s="17"/>
      <c r="H31" s="1"/>
      <c r="I31" s="46"/>
      <c r="J31" s="17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2"/>
      <c r="S31" s="14"/>
    </row>
    <row r="32" spans="1:19" x14ac:dyDescent="0.2">
      <c r="A32" s="2"/>
      <c r="B32" s="14"/>
      <c r="C32" s="14"/>
      <c r="D32" s="1"/>
      <c r="E32" s="14"/>
      <c r="G32" s="17"/>
      <c r="H32" s="1"/>
      <c r="I32" s="46"/>
      <c r="J32" s="17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2"/>
      <c r="S32" s="14"/>
    </row>
    <row r="33" spans="1:19" x14ac:dyDescent="0.2">
      <c r="A33" s="2"/>
      <c r="B33" s="14"/>
      <c r="C33" s="14"/>
      <c r="D33" s="1"/>
      <c r="E33" s="14"/>
      <c r="G33" s="17"/>
      <c r="H33" s="1"/>
      <c r="I33" s="46"/>
      <c r="J33" s="17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2"/>
      <c r="S33" s="14"/>
    </row>
    <row r="34" spans="1:19" x14ac:dyDescent="0.2">
      <c r="A34" s="2"/>
      <c r="B34" s="14"/>
      <c r="C34" s="14"/>
      <c r="D34" s="1"/>
      <c r="E34" s="14"/>
      <c r="G34" s="17"/>
      <c r="H34" s="1"/>
      <c r="I34" s="46"/>
      <c r="J34" s="17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2"/>
      <c r="S34" s="14"/>
    </row>
    <row r="35" spans="1:19" x14ac:dyDescent="0.2">
      <c r="A35" s="2"/>
      <c r="B35" s="14"/>
      <c r="C35" s="14"/>
      <c r="D35" s="1"/>
      <c r="E35" s="14"/>
      <c r="G35" s="17"/>
      <c r="H35" s="1"/>
      <c r="I35" s="46"/>
      <c r="J35" s="17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2"/>
      <c r="S35" s="14"/>
    </row>
    <row r="36" spans="1:19" x14ac:dyDescent="0.2">
      <c r="A36" s="2"/>
      <c r="B36" s="14"/>
      <c r="C36" s="14"/>
      <c r="D36" s="1"/>
      <c r="E36" s="14"/>
      <c r="G36" s="17"/>
      <c r="H36" s="1"/>
      <c r="I36" s="46"/>
      <c r="J36" s="17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2"/>
      <c r="S36" s="14"/>
    </row>
    <row r="37" spans="1:19" x14ac:dyDescent="0.2">
      <c r="A37" s="2"/>
      <c r="B37" s="14"/>
      <c r="C37" s="14"/>
      <c r="D37" s="1"/>
      <c r="E37" s="14"/>
      <c r="G37" s="17"/>
      <c r="H37" s="1"/>
      <c r="I37" s="46"/>
      <c r="J37" s="17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2"/>
      <c r="S37" s="14"/>
    </row>
    <row r="38" spans="1:19" x14ac:dyDescent="0.2">
      <c r="A38" s="2"/>
      <c r="B38" s="14"/>
      <c r="C38" s="14"/>
      <c r="D38" s="1"/>
      <c r="E38" s="14"/>
      <c r="G38" s="17"/>
      <c r="H38" s="1"/>
      <c r="I38" s="46"/>
      <c r="J38" s="17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2"/>
      <c r="S38" s="14"/>
    </row>
    <row r="39" spans="1:19" x14ac:dyDescent="0.2">
      <c r="A39" s="2"/>
      <c r="B39" s="14"/>
      <c r="C39" s="14"/>
      <c r="D39" s="1"/>
      <c r="E39" s="14"/>
      <c r="G39" s="17"/>
      <c r="H39" s="1"/>
      <c r="I39" s="46"/>
      <c r="J39" s="17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2"/>
      <c r="S39" s="14"/>
    </row>
    <row r="40" spans="1:19" x14ac:dyDescent="0.2">
      <c r="A40" s="2"/>
      <c r="B40" s="14"/>
      <c r="C40" s="14"/>
      <c r="D40" s="1"/>
      <c r="E40" s="14"/>
      <c r="G40" s="17"/>
      <c r="H40" s="1"/>
      <c r="I40" s="46"/>
      <c r="J40" s="17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2"/>
      <c r="S40" s="14"/>
    </row>
    <row r="41" spans="1:19" x14ac:dyDescent="0.2">
      <c r="A41" s="3" t="s">
        <v>119</v>
      </c>
      <c r="F41" s="45"/>
      <c r="S41" s="15">
        <f>SUBTOTAL(103,Tabla1456789101112[[NOTAS ]])</f>
        <v>20</v>
      </c>
    </row>
  </sheetData>
  <conditionalFormatting sqref="A2:S41">
    <cfRule type="expression" dxfId="27" priority="1" stopIfTrue="1">
      <formula>$Q2="YA RELACIONADO"</formula>
    </cfRule>
    <cfRule type="expression" dxfId="26" priority="2" stopIfTrue="1">
      <formula>$Q2="COTIZACIÓN"</formula>
    </cfRule>
    <cfRule type="expression" dxfId="25" priority="3" stopIfTrue="1">
      <formula>$Q2="NO PAGARON DOMICILIO"</formula>
    </cfRule>
    <cfRule type="expression" dxfId="24" priority="4" stopIfTrue="1">
      <formula>$Q2="NO SE COBRA DOMICILIO"</formula>
    </cfRule>
    <cfRule type="expression" dxfId="23" priority="5" stopIfTrue="1">
      <formula>$Q2="GARANTIA"</formula>
    </cfRule>
    <cfRule type="expression" dxfId="22" priority="6" stopIfTrue="1">
      <formula>$Q2="CANCELADO"</formula>
    </cfRule>
  </conditionalFormatting>
  <dataValidations count="3">
    <dataValidation type="list" allowBlank="1" showInputMessage="1" showErrorMessage="1" sqref="N2:N40" xr:uid="{CC726264-9893-4989-9AEC-77D1C89127D4}">
      <formula1>$AD$1:$AD$2</formula1>
    </dataValidation>
    <dataValidation type="list" allowBlank="1" showInputMessage="1" showErrorMessage="1" sqref="L2:L40" xr:uid="{1FAD8A4C-2880-4BFD-BB53-775CE013E6C5}">
      <formula1>$AB$1:$AB$2</formula1>
    </dataValidation>
    <dataValidation type="list" allowBlank="1" showInputMessage="1" showErrorMessage="1" sqref="Q2:Q40" xr:uid="{B08BD579-260C-49DE-B05E-A7FB11C22EA0}">
      <formula1>$AC$1:$AC$7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603D-433C-407B-8055-9039B7209725}">
  <sheetPr codeName="Hoja12">
    <tabColor rgb="FFC00000"/>
  </sheetPr>
  <dimension ref="A1:AD41"/>
  <sheetViews>
    <sheetView tabSelected="1" topLeftCell="K15" zoomScaleNormal="100" workbookViewId="0">
      <selection activeCell="N25" sqref="N25"/>
    </sheetView>
  </sheetViews>
  <sheetFormatPr defaultColWidth="10.76171875" defaultRowHeight="15" x14ac:dyDescent="0.2"/>
  <cols>
    <col min="1" max="1" width="25.69140625" style="3" customWidth="1"/>
    <col min="2" max="2" width="27.171875" style="15" customWidth="1"/>
    <col min="3" max="3" width="21.5234375" style="15" customWidth="1"/>
    <col min="4" max="4" width="17.484375" customWidth="1"/>
    <col min="5" max="5" width="39.546875" style="15" customWidth="1"/>
    <col min="6" max="6" width="17.08203125" style="7" customWidth="1"/>
    <col min="7" max="7" width="16.41015625" style="18" customWidth="1"/>
    <col min="8" max="8" width="39.546875" customWidth="1"/>
    <col min="9" max="9" width="19.234375" style="18" customWidth="1"/>
    <col min="10" max="10" width="11.56640625" style="18" customWidth="1"/>
    <col min="11" max="11" width="11.8359375" style="10" customWidth="1"/>
    <col min="12" max="12" width="17.484375" customWidth="1"/>
    <col min="13" max="13" width="16.27734375" style="10" customWidth="1"/>
    <col min="14" max="14" width="12.5078125" style="9" customWidth="1"/>
    <col min="15" max="15" width="11.8359375" style="10" customWidth="1"/>
    <col min="16" max="16" width="15.46875" style="10" customWidth="1"/>
    <col min="17" max="17" width="25.421875" style="12" customWidth="1"/>
    <col min="18" max="18" width="36.58984375" style="3" customWidth="1"/>
    <col min="19" max="19" width="47.62109375" style="15" customWidth="1"/>
    <col min="28" max="28" width="17.75390625" customWidth="1"/>
    <col min="29" max="29" width="26.36328125" customWidth="1"/>
  </cols>
  <sheetData>
    <row r="1" spans="1:30" x14ac:dyDescent="0.2">
      <c r="A1" s="2" t="s">
        <v>0</v>
      </c>
      <c r="B1" s="14" t="s">
        <v>1</v>
      </c>
      <c r="C1" s="14" t="s">
        <v>2</v>
      </c>
      <c r="D1" s="1" t="s">
        <v>3</v>
      </c>
      <c r="E1" s="14" t="s">
        <v>4</v>
      </c>
      <c r="F1" s="7" t="s">
        <v>5</v>
      </c>
      <c r="G1" s="17" t="s">
        <v>6</v>
      </c>
      <c r="H1" s="1" t="s">
        <v>7</v>
      </c>
      <c r="I1" s="17" t="s">
        <v>8</v>
      </c>
      <c r="J1" s="17" t="s">
        <v>9</v>
      </c>
      <c r="K1" s="6" t="s">
        <v>10</v>
      </c>
      <c r="L1" s="1" t="s">
        <v>11</v>
      </c>
      <c r="M1" s="6" t="s">
        <v>12</v>
      </c>
      <c r="N1" s="8" t="s">
        <v>13</v>
      </c>
      <c r="O1" s="6" t="s">
        <v>14</v>
      </c>
      <c r="P1" s="6" t="s">
        <v>15</v>
      </c>
      <c r="Q1" s="11" t="s">
        <v>16</v>
      </c>
      <c r="R1" s="2" t="s">
        <v>17</v>
      </c>
      <c r="S1" s="14" t="s">
        <v>18</v>
      </c>
      <c r="AB1" s="1" t="s">
        <v>19</v>
      </c>
      <c r="AC1" s="14" t="s">
        <v>20</v>
      </c>
      <c r="AD1" s="14" t="s">
        <v>21</v>
      </c>
    </row>
    <row r="2" spans="1:30" ht="27.75" x14ac:dyDescent="0.2">
      <c r="A2" s="2">
        <v>45992</v>
      </c>
      <c r="B2" s="14" t="s">
        <v>851</v>
      </c>
      <c r="C2" s="14"/>
      <c r="D2" s="1" t="s">
        <v>852</v>
      </c>
      <c r="E2" s="14" t="s">
        <v>853</v>
      </c>
      <c r="G2" s="17"/>
      <c r="H2" s="1"/>
      <c r="I2" s="17"/>
      <c r="J2" s="17"/>
      <c r="K2" s="6"/>
      <c r="L2" s="14" t="s">
        <v>19</v>
      </c>
      <c r="M2" s="6">
        <f t="shared" ref="M2:M40" si="0">(F2+G2-I2-K2)</f>
        <v>0</v>
      </c>
      <c r="N2" s="14" t="s">
        <v>21</v>
      </c>
      <c r="O2" s="6">
        <f t="shared" ref="O2:O40" si="1">IF(N2="X25%",M2*0.25,IF(N2="X50%",M2/2,""))</f>
        <v>0</v>
      </c>
      <c r="P2" s="6">
        <f t="shared" ref="P2:P40" si="2">(M2/2+J2)</f>
        <v>0</v>
      </c>
      <c r="Q2" s="14" t="s">
        <v>50</v>
      </c>
      <c r="R2" s="2"/>
      <c r="S2" s="14"/>
      <c r="AB2" s="1" t="s">
        <v>26</v>
      </c>
      <c r="AC2" s="14" t="s">
        <v>28</v>
      </c>
      <c r="AD2" s="14" t="s">
        <v>29</v>
      </c>
    </row>
    <row r="3" spans="1:30" ht="54.75" x14ac:dyDescent="0.2">
      <c r="A3" s="2">
        <v>45994</v>
      </c>
      <c r="B3" s="14" t="s">
        <v>855</v>
      </c>
      <c r="C3" s="14"/>
      <c r="D3" s="1">
        <v>502</v>
      </c>
      <c r="E3" s="14" t="s">
        <v>856</v>
      </c>
      <c r="G3" s="17">
        <v>240000</v>
      </c>
      <c r="H3" s="1" t="s">
        <v>857</v>
      </c>
      <c r="I3" s="17">
        <v>58000</v>
      </c>
      <c r="J3" s="17"/>
      <c r="K3" s="6"/>
      <c r="L3" s="14" t="s">
        <v>19</v>
      </c>
      <c r="M3" s="6">
        <f t="shared" si="0"/>
        <v>182000</v>
      </c>
      <c r="N3" s="14" t="s">
        <v>21</v>
      </c>
      <c r="O3" s="6">
        <f t="shared" si="1"/>
        <v>91000</v>
      </c>
      <c r="P3" s="6">
        <f t="shared" si="2"/>
        <v>91000</v>
      </c>
      <c r="Q3" s="14" t="s">
        <v>20</v>
      </c>
      <c r="R3" s="2">
        <v>45994</v>
      </c>
      <c r="S3" s="14" t="s">
        <v>862</v>
      </c>
      <c r="AC3" s="14" t="s">
        <v>33</v>
      </c>
    </row>
    <row r="4" spans="1:30" ht="27.75" x14ac:dyDescent="0.2">
      <c r="A4" s="2">
        <v>45994</v>
      </c>
      <c r="B4" s="14" t="s">
        <v>858</v>
      </c>
      <c r="C4" s="14"/>
      <c r="D4" s="1" t="s">
        <v>31</v>
      </c>
      <c r="E4" s="14" t="s">
        <v>859</v>
      </c>
      <c r="G4" s="17">
        <v>400000</v>
      </c>
      <c r="H4" s="1" t="s">
        <v>860</v>
      </c>
      <c r="I4" s="17">
        <v>179000</v>
      </c>
      <c r="J4" s="17"/>
      <c r="K4" s="6"/>
      <c r="L4" s="14" t="s">
        <v>19</v>
      </c>
      <c r="M4" s="6">
        <f t="shared" si="0"/>
        <v>221000</v>
      </c>
      <c r="N4" s="14" t="s">
        <v>21</v>
      </c>
      <c r="O4" s="6">
        <f t="shared" si="1"/>
        <v>110500</v>
      </c>
      <c r="P4" s="6">
        <f t="shared" si="2"/>
        <v>110500</v>
      </c>
      <c r="Q4" s="14" t="s">
        <v>20</v>
      </c>
      <c r="R4" s="2">
        <v>45994</v>
      </c>
      <c r="S4" s="14" t="s">
        <v>861</v>
      </c>
      <c r="AC4" s="14" t="s">
        <v>35</v>
      </c>
    </row>
    <row r="5" spans="1:30" ht="27.75" x14ac:dyDescent="0.2">
      <c r="A5" s="2">
        <v>45996</v>
      </c>
      <c r="B5" s="14" t="s">
        <v>864</v>
      </c>
      <c r="C5" s="14" t="s">
        <v>865</v>
      </c>
      <c r="D5" s="1" t="s">
        <v>92</v>
      </c>
      <c r="E5" s="14" t="s">
        <v>866</v>
      </c>
      <c r="G5" s="17">
        <v>332619</v>
      </c>
      <c r="H5" s="1"/>
      <c r="I5" s="17"/>
      <c r="J5" s="17">
        <v>66500</v>
      </c>
      <c r="K5" s="6"/>
      <c r="L5" s="14" t="s">
        <v>19</v>
      </c>
      <c r="M5" s="6">
        <f t="shared" si="0"/>
        <v>332619</v>
      </c>
      <c r="N5" s="14" t="s">
        <v>21</v>
      </c>
      <c r="O5" s="6">
        <f t="shared" si="1"/>
        <v>166309.5</v>
      </c>
      <c r="P5" s="6">
        <f t="shared" si="2"/>
        <v>232809.5</v>
      </c>
      <c r="Q5" s="14" t="s">
        <v>20</v>
      </c>
      <c r="R5" s="2">
        <v>45996</v>
      </c>
      <c r="S5" s="14" t="s">
        <v>867</v>
      </c>
      <c r="AC5" s="14" t="s">
        <v>39</v>
      </c>
    </row>
    <row r="6" spans="1:30" ht="27.75" x14ac:dyDescent="0.2">
      <c r="A6" s="2">
        <v>46000</v>
      </c>
      <c r="B6" s="14" t="s">
        <v>869</v>
      </c>
      <c r="C6" s="14" t="s">
        <v>870</v>
      </c>
      <c r="D6" s="1" t="s">
        <v>31</v>
      </c>
      <c r="E6" s="14" t="s">
        <v>871</v>
      </c>
      <c r="G6" s="17">
        <v>180000</v>
      </c>
      <c r="H6" s="1"/>
      <c r="I6" s="17"/>
      <c r="J6" s="17"/>
      <c r="K6" s="6"/>
      <c r="L6" s="14" t="s">
        <v>26</v>
      </c>
      <c r="M6" s="6">
        <f t="shared" si="0"/>
        <v>180000</v>
      </c>
      <c r="N6" s="14" t="s">
        <v>21</v>
      </c>
      <c r="O6" s="6">
        <f t="shared" si="1"/>
        <v>90000</v>
      </c>
      <c r="P6" s="6">
        <f t="shared" si="2"/>
        <v>90000</v>
      </c>
      <c r="Q6" s="14" t="s">
        <v>20</v>
      </c>
      <c r="R6" s="2"/>
      <c r="S6" s="14"/>
      <c r="AC6" s="14" t="s">
        <v>45</v>
      </c>
    </row>
    <row r="7" spans="1:30" ht="41.25" x14ac:dyDescent="0.2">
      <c r="A7" s="2">
        <v>46000</v>
      </c>
      <c r="B7" s="14" t="s">
        <v>872</v>
      </c>
      <c r="C7" s="14" t="s">
        <v>873</v>
      </c>
      <c r="D7" s="1" t="s">
        <v>107</v>
      </c>
      <c r="E7" s="14" t="s">
        <v>874</v>
      </c>
      <c r="G7" s="17"/>
      <c r="H7" s="1"/>
      <c r="I7" s="17"/>
      <c r="J7" s="17"/>
      <c r="K7" s="6"/>
      <c r="L7" s="14"/>
      <c r="M7" s="6">
        <f t="shared" si="0"/>
        <v>0</v>
      </c>
      <c r="N7" s="14"/>
      <c r="O7" s="6" t="str">
        <f t="shared" si="1"/>
        <v/>
      </c>
      <c r="P7" s="6">
        <f t="shared" si="2"/>
        <v>0</v>
      </c>
      <c r="Q7" s="14" t="s">
        <v>33</v>
      </c>
      <c r="R7" s="2"/>
      <c r="S7" s="14"/>
      <c r="AC7" s="14" t="s">
        <v>50</v>
      </c>
    </row>
    <row r="8" spans="1:30" ht="27.75" x14ac:dyDescent="0.2">
      <c r="A8" s="2">
        <v>46001</v>
      </c>
      <c r="B8" s="14" t="s">
        <v>875</v>
      </c>
      <c r="C8" s="14" t="s">
        <v>876</v>
      </c>
      <c r="D8" s="1" t="s">
        <v>31</v>
      </c>
      <c r="E8" s="14" t="s">
        <v>877</v>
      </c>
      <c r="F8" s="7">
        <v>80000</v>
      </c>
      <c r="G8" s="17"/>
      <c r="H8" s="1"/>
      <c r="I8" s="17"/>
      <c r="J8" s="17">
        <v>15200</v>
      </c>
      <c r="K8" s="6"/>
      <c r="L8" s="14" t="s">
        <v>19</v>
      </c>
      <c r="M8" s="6">
        <f t="shared" si="0"/>
        <v>80000</v>
      </c>
      <c r="N8" s="14" t="s">
        <v>21</v>
      </c>
      <c r="O8" s="6">
        <f t="shared" si="1"/>
        <v>40000</v>
      </c>
      <c r="P8" s="6">
        <f t="shared" si="2"/>
        <v>55200</v>
      </c>
      <c r="Q8" s="14" t="s">
        <v>20</v>
      </c>
      <c r="R8" s="2">
        <v>46002</v>
      </c>
      <c r="S8" s="14" t="s">
        <v>861</v>
      </c>
    </row>
    <row r="9" spans="1:30" x14ac:dyDescent="0.2">
      <c r="A9" s="2">
        <v>46001</v>
      </c>
      <c r="B9" s="14" t="s">
        <v>878</v>
      </c>
      <c r="C9" s="14" t="s">
        <v>879</v>
      </c>
      <c r="D9" s="1" t="s">
        <v>107</v>
      </c>
      <c r="E9" s="14" t="s">
        <v>880</v>
      </c>
      <c r="F9" s="7">
        <v>67226</v>
      </c>
      <c r="G9" s="17"/>
      <c r="H9" s="1"/>
      <c r="I9" s="17"/>
      <c r="J9" s="17">
        <v>12774</v>
      </c>
      <c r="K9" s="6"/>
      <c r="L9" s="14" t="s">
        <v>19</v>
      </c>
      <c r="M9" s="6">
        <f t="shared" si="0"/>
        <v>67226</v>
      </c>
      <c r="N9" s="14" t="s">
        <v>21</v>
      </c>
      <c r="O9" s="6">
        <f t="shared" si="1"/>
        <v>33613</v>
      </c>
      <c r="P9" s="6">
        <f t="shared" si="2"/>
        <v>46387</v>
      </c>
      <c r="Q9" s="14" t="s">
        <v>20</v>
      </c>
      <c r="R9" s="2">
        <v>46002</v>
      </c>
      <c r="S9" s="14" t="s">
        <v>850</v>
      </c>
    </row>
    <row r="10" spans="1:30" x14ac:dyDescent="0.2">
      <c r="A10" s="2">
        <v>46002</v>
      </c>
      <c r="B10" s="14" t="s">
        <v>881</v>
      </c>
      <c r="C10" s="14" t="s">
        <v>835</v>
      </c>
      <c r="D10" s="1" t="s">
        <v>882</v>
      </c>
      <c r="E10" s="14" t="s">
        <v>32</v>
      </c>
      <c r="G10" s="17">
        <v>65000</v>
      </c>
      <c r="H10" s="1"/>
      <c r="I10" s="17"/>
      <c r="J10" s="17"/>
      <c r="K10" s="6"/>
      <c r="L10" s="14" t="s">
        <v>26</v>
      </c>
      <c r="M10" s="6">
        <f t="shared" si="0"/>
        <v>65000</v>
      </c>
      <c r="N10" s="14" t="s">
        <v>21</v>
      </c>
      <c r="O10" s="6">
        <f t="shared" si="1"/>
        <v>32500</v>
      </c>
      <c r="P10" s="6">
        <f t="shared" si="2"/>
        <v>32500</v>
      </c>
      <c r="Q10" s="14" t="s">
        <v>20</v>
      </c>
      <c r="R10" s="2">
        <v>46002</v>
      </c>
      <c r="S10" s="14" t="s">
        <v>760</v>
      </c>
    </row>
    <row r="11" spans="1:30" ht="54.75" x14ac:dyDescent="0.2">
      <c r="A11" s="2">
        <v>46002</v>
      </c>
      <c r="B11" s="14" t="s">
        <v>872</v>
      </c>
      <c r="C11" s="14" t="s">
        <v>873</v>
      </c>
      <c r="D11" s="1" t="s">
        <v>107</v>
      </c>
      <c r="E11" s="14" t="s">
        <v>883</v>
      </c>
      <c r="G11" s="17">
        <v>912326</v>
      </c>
      <c r="H11" s="1" t="s">
        <v>884</v>
      </c>
      <c r="I11" s="17">
        <v>99950</v>
      </c>
      <c r="J11" s="17">
        <v>182400</v>
      </c>
      <c r="K11" s="6"/>
      <c r="L11" s="14" t="s">
        <v>19</v>
      </c>
      <c r="M11" s="6">
        <f t="shared" si="0"/>
        <v>812376</v>
      </c>
      <c r="N11" s="14" t="s">
        <v>29</v>
      </c>
      <c r="O11" s="6">
        <f t="shared" si="1"/>
        <v>203094</v>
      </c>
      <c r="P11" s="6">
        <f t="shared" si="2"/>
        <v>588588</v>
      </c>
      <c r="Q11" s="14" t="s">
        <v>20</v>
      </c>
      <c r="R11" s="2">
        <v>46003</v>
      </c>
      <c r="S11" s="14" t="s">
        <v>886</v>
      </c>
    </row>
    <row r="12" spans="1:30" ht="27.75" x14ac:dyDescent="0.2">
      <c r="A12" s="2">
        <v>46004</v>
      </c>
      <c r="B12" s="14" t="s">
        <v>887</v>
      </c>
      <c r="C12" s="14" t="s">
        <v>888</v>
      </c>
      <c r="D12" s="1" t="s">
        <v>31</v>
      </c>
      <c r="E12" s="14" t="s">
        <v>889</v>
      </c>
      <c r="F12" s="7">
        <v>80000</v>
      </c>
      <c r="G12" s="17"/>
      <c r="H12" s="1"/>
      <c r="I12" s="17"/>
      <c r="J12" s="17"/>
      <c r="K12" s="6"/>
      <c r="L12" s="14" t="s">
        <v>26</v>
      </c>
      <c r="M12" s="6">
        <f t="shared" si="0"/>
        <v>80000</v>
      </c>
      <c r="N12" s="14" t="s">
        <v>21</v>
      </c>
      <c r="O12" s="6">
        <f t="shared" si="1"/>
        <v>40000</v>
      </c>
      <c r="P12" s="6">
        <f t="shared" si="2"/>
        <v>40000</v>
      </c>
      <c r="Q12" s="14" t="s">
        <v>20</v>
      </c>
      <c r="R12" s="2">
        <v>46007</v>
      </c>
      <c r="S12" s="14" t="s">
        <v>760</v>
      </c>
    </row>
    <row r="13" spans="1:30" ht="27.75" x14ac:dyDescent="0.2">
      <c r="A13" s="2">
        <v>46006</v>
      </c>
      <c r="B13" s="14" t="s">
        <v>891</v>
      </c>
      <c r="C13" s="14" t="s">
        <v>890</v>
      </c>
      <c r="D13" s="1" t="s">
        <v>92</v>
      </c>
      <c r="E13" s="14" t="s">
        <v>892</v>
      </c>
      <c r="G13" s="17">
        <v>500000</v>
      </c>
      <c r="H13" s="1"/>
      <c r="I13" s="17"/>
      <c r="J13" s="17"/>
      <c r="K13" s="6"/>
      <c r="L13" s="14" t="s">
        <v>19</v>
      </c>
      <c r="M13" s="6">
        <f t="shared" si="0"/>
        <v>500000</v>
      </c>
      <c r="N13" s="14" t="s">
        <v>21</v>
      </c>
      <c r="O13" s="6">
        <f t="shared" si="1"/>
        <v>250000</v>
      </c>
      <c r="P13" s="6">
        <f t="shared" si="2"/>
        <v>250000</v>
      </c>
      <c r="Q13" s="14" t="s">
        <v>20</v>
      </c>
      <c r="R13" s="2">
        <v>46011</v>
      </c>
      <c r="S13" s="14" t="s">
        <v>867</v>
      </c>
    </row>
    <row r="14" spans="1:30" ht="27.75" x14ac:dyDescent="0.2">
      <c r="A14" s="2">
        <v>46007</v>
      </c>
      <c r="B14" s="14" t="s">
        <v>894</v>
      </c>
      <c r="C14" s="14" t="s">
        <v>895</v>
      </c>
      <c r="D14" s="1">
        <v>601</v>
      </c>
      <c r="E14" s="14" t="s">
        <v>896</v>
      </c>
      <c r="F14" s="7">
        <v>80000</v>
      </c>
      <c r="G14" s="17"/>
      <c r="H14" s="1"/>
      <c r="I14" s="17"/>
      <c r="J14" s="17">
        <v>15200</v>
      </c>
      <c r="K14" s="6"/>
      <c r="L14" s="14" t="s">
        <v>26</v>
      </c>
      <c r="M14" s="6">
        <f t="shared" si="0"/>
        <v>80000</v>
      </c>
      <c r="N14" s="14" t="s">
        <v>21</v>
      </c>
      <c r="O14" s="6">
        <f t="shared" si="1"/>
        <v>40000</v>
      </c>
      <c r="P14" s="6">
        <f t="shared" si="2"/>
        <v>55200</v>
      </c>
      <c r="Q14" s="14" t="s">
        <v>20</v>
      </c>
      <c r="R14" s="2">
        <v>46007</v>
      </c>
      <c r="S14" s="14" t="s">
        <v>760</v>
      </c>
    </row>
    <row r="15" spans="1:30" ht="41.25" x14ac:dyDescent="0.2">
      <c r="A15" s="2">
        <v>46007</v>
      </c>
      <c r="B15" s="14" t="s">
        <v>898</v>
      </c>
      <c r="C15" s="14" t="s">
        <v>899</v>
      </c>
      <c r="D15" s="1" t="s">
        <v>107</v>
      </c>
      <c r="E15" s="14" t="s">
        <v>897</v>
      </c>
      <c r="G15" s="17">
        <v>700000</v>
      </c>
      <c r="H15" s="1"/>
      <c r="I15" s="17"/>
      <c r="J15" s="17"/>
      <c r="K15" s="6"/>
      <c r="L15" s="14" t="s">
        <v>19</v>
      </c>
      <c r="M15" s="6">
        <f t="shared" si="0"/>
        <v>700000</v>
      </c>
      <c r="N15" s="14" t="s">
        <v>21</v>
      </c>
      <c r="O15" s="6">
        <f t="shared" si="1"/>
        <v>350000</v>
      </c>
      <c r="P15" s="6">
        <f t="shared" si="2"/>
        <v>350000</v>
      </c>
      <c r="Q15" s="14" t="s">
        <v>20</v>
      </c>
      <c r="R15" s="2">
        <v>46008</v>
      </c>
      <c r="S15" s="14" t="s">
        <v>900</v>
      </c>
    </row>
    <row r="16" spans="1:30" ht="41.25" x14ac:dyDescent="0.2">
      <c r="A16" s="2">
        <v>46008</v>
      </c>
      <c r="B16" s="14" t="s">
        <v>901</v>
      </c>
      <c r="C16" s="14" t="s">
        <v>902</v>
      </c>
      <c r="D16" s="1" t="s">
        <v>107</v>
      </c>
      <c r="E16" s="14" t="s">
        <v>903</v>
      </c>
      <c r="G16" s="17">
        <v>2400000</v>
      </c>
      <c r="H16" s="1"/>
      <c r="I16" s="17"/>
      <c r="J16" s="17"/>
      <c r="K16" s="6"/>
      <c r="L16" s="14" t="s">
        <v>19</v>
      </c>
      <c r="M16" s="6">
        <f t="shared" si="0"/>
        <v>2400000</v>
      </c>
      <c r="N16" s="14" t="s">
        <v>29</v>
      </c>
      <c r="O16" s="6">
        <f t="shared" si="1"/>
        <v>600000</v>
      </c>
      <c r="P16" s="6">
        <f t="shared" si="2"/>
        <v>1200000</v>
      </c>
      <c r="Q16" s="14" t="s">
        <v>20</v>
      </c>
      <c r="R16" s="2">
        <v>46015</v>
      </c>
      <c r="S16" s="14" t="s">
        <v>850</v>
      </c>
    </row>
    <row r="17" spans="1:19" x14ac:dyDescent="0.2">
      <c r="A17" s="2">
        <v>46010</v>
      </c>
      <c r="B17" s="14" t="s">
        <v>904</v>
      </c>
      <c r="C17" s="14"/>
      <c r="D17" s="1" t="s">
        <v>107</v>
      </c>
      <c r="E17" s="14" t="s">
        <v>905</v>
      </c>
      <c r="G17" s="17">
        <v>180000</v>
      </c>
      <c r="H17" s="1"/>
      <c r="I17" s="17"/>
      <c r="J17" s="17">
        <v>34200</v>
      </c>
      <c r="K17" s="6"/>
      <c r="L17" s="14" t="s">
        <v>26</v>
      </c>
      <c r="M17" s="6">
        <f t="shared" si="0"/>
        <v>180000</v>
      </c>
      <c r="N17" s="14" t="s">
        <v>21</v>
      </c>
      <c r="O17" s="6">
        <f t="shared" si="1"/>
        <v>90000</v>
      </c>
      <c r="P17" s="6">
        <f t="shared" si="2"/>
        <v>124200</v>
      </c>
      <c r="Q17" s="14" t="s">
        <v>20</v>
      </c>
      <c r="R17" s="2">
        <v>46010</v>
      </c>
      <c r="S17" s="14" t="s">
        <v>885</v>
      </c>
    </row>
    <row r="18" spans="1:19" ht="41.25" x14ac:dyDescent="0.2">
      <c r="A18" s="2">
        <v>46010</v>
      </c>
      <c r="B18" s="14" t="s">
        <v>906</v>
      </c>
      <c r="C18" s="14" t="s">
        <v>907</v>
      </c>
      <c r="D18" s="1" t="s">
        <v>111</v>
      </c>
      <c r="E18" s="14" t="s">
        <v>908</v>
      </c>
      <c r="G18" s="17">
        <v>520204</v>
      </c>
      <c r="H18" s="1"/>
      <c r="I18" s="17"/>
      <c r="J18" s="17">
        <v>114000</v>
      </c>
      <c r="K18" s="6"/>
      <c r="L18" s="14" t="s">
        <v>19</v>
      </c>
      <c r="M18" s="6">
        <f t="shared" si="0"/>
        <v>520204</v>
      </c>
      <c r="N18" s="14" t="s">
        <v>29</v>
      </c>
      <c r="O18" s="6">
        <f t="shared" si="1"/>
        <v>130051</v>
      </c>
      <c r="P18" s="6">
        <f t="shared" si="2"/>
        <v>374102</v>
      </c>
      <c r="Q18" s="14" t="s">
        <v>20</v>
      </c>
      <c r="R18" s="2">
        <v>46013</v>
      </c>
      <c r="S18" s="14" t="s">
        <v>909</v>
      </c>
    </row>
    <row r="19" spans="1:19" x14ac:dyDescent="0.2">
      <c r="A19" s="2">
        <v>46013</v>
      </c>
      <c r="B19" s="14" t="s">
        <v>910</v>
      </c>
      <c r="C19" s="14"/>
      <c r="D19" s="1" t="s">
        <v>911</v>
      </c>
      <c r="E19" s="14"/>
      <c r="G19" s="17"/>
      <c r="H19" s="1"/>
      <c r="I19" s="17"/>
      <c r="J19" s="17"/>
      <c r="K19" s="6"/>
      <c r="L19" s="14"/>
      <c r="M19" s="6">
        <f t="shared" si="0"/>
        <v>0</v>
      </c>
      <c r="N19" s="14"/>
      <c r="O19" s="6" t="str">
        <f t="shared" si="1"/>
        <v/>
      </c>
      <c r="P19" s="6">
        <f t="shared" si="2"/>
        <v>0</v>
      </c>
      <c r="Q19" s="14" t="s">
        <v>35</v>
      </c>
      <c r="R19" s="2"/>
      <c r="S19" s="14" t="s">
        <v>912</v>
      </c>
    </row>
    <row r="20" spans="1:19" x14ac:dyDescent="0.2">
      <c r="A20" s="2">
        <v>46017</v>
      </c>
      <c r="B20" s="14" t="s">
        <v>913</v>
      </c>
      <c r="C20" s="14"/>
      <c r="D20" s="1" t="s">
        <v>914</v>
      </c>
      <c r="E20" s="14" t="s">
        <v>915</v>
      </c>
      <c r="G20" s="17"/>
      <c r="H20" s="1"/>
      <c r="I20" s="17"/>
      <c r="J20" s="17"/>
      <c r="K20" s="6"/>
      <c r="L20" s="14"/>
      <c r="M20" s="6">
        <f t="shared" si="0"/>
        <v>0</v>
      </c>
      <c r="N20" s="14"/>
      <c r="O20" s="6" t="str">
        <f t="shared" si="1"/>
        <v/>
      </c>
      <c r="P20" s="6">
        <f t="shared" si="2"/>
        <v>0</v>
      </c>
      <c r="Q20" s="14" t="s">
        <v>45</v>
      </c>
      <c r="R20" s="2"/>
      <c r="S20" s="14"/>
    </row>
    <row r="21" spans="1:19" ht="27.75" x14ac:dyDescent="0.2">
      <c r="A21" s="2">
        <v>46017</v>
      </c>
      <c r="B21" s="14" t="s">
        <v>904</v>
      </c>
      <c r="C21" s="14"/>
      <c r="D21" s="1" t="s">
        <v>107</v>
      </c>
      <c r="E21" s="14" t="s">
        <v>916</v>
      </c>
      <c r="G21" s="17"/>
      <c r="H21" s="1"/>
      <c r="I21" s="17"/>
      <c r="J21" s="17"/>
      <c r="K21" s="6"/>
      <c r="L21" s="14"/>
      <c r="M21" s="6">
        <f t="shared" si="0"/>
        <v>0</v>
      </c>
      <c r="N21" s="14"/>
      <c r="O21" s="6" t="str">
        <f t="shared" si="1"/>
        <v/>
      </c>
      <c r="P21" s="6">
        <f t="shared" si="2"/>
        <v>0</v>
      </c>
      <c r="Q21" s="14" t="s">
        <v>45</v>
      </c>
      <c r="R21" s="2"/>
      <c r="S21" s="14"/>
    </row>
    <row r="22" spans="1:19" ht="41.25" x14ac:dyDescent="0.2">
      <c r="A22" s="2">
        <v>46020</v>
      </c>
      <c r="B22" s="14" t="s">
        <v>685</v>
      </c>
      <c r="C22" s="14" t="s">
        <v>917</v>
      </c>
      <c r="D22" s="1" t="s">
        <v>107</v>
      </c>
      <c r="E22" s="14" t="s">
        <v>918</v>
      </c>
      <c r="G22" s="17"/>
      <c r="H22" s="1"/>
      <c r="I22" s="17"/>
      <c r="J22" s="17"/>
      <c r="K22" s="6"/>
      <c r="L22" s="14" t="s">
        <v>19</v>
      </c>
      <c r="M22" s="6">
        <f t="shared" si="0"/>
        <v>0</v>
      </c>
      <c r="N22" s="14" t="s">
        <v>29</v>
      </c>
      <c r="O22" s="6">
        <f t="shared" si="1"/>
        <v>0</v>
      </c>
      <c r="P22" s="6">
        <f t="shared" si="2"/>
        <v>0</v>
      </c>
      <c r="Q22" s="14" t="s">
        <v>50</v>
      </c>
      <c r="R22" s="2"/>
      <c r="S22" s="14"/>
    </row>
    <row r="23" spans="1:19" ht="27.75" x14ac:dyDescent="0.2">
      <c r="A23" s="2">
        <v>46020</v>
      </c>
      <c r="B23" s="14" t="s">
        <v>898</v>
      </c>
      <c r="C23" s="14" t="s">
        <v>899</v>
      </c>
      <c r="D23" s="1" t="s">
        <v>107</v>
      </c>
      <c r="E23" s="14"/>
      <c r="G23" s="17"/>
      <c r="H23" s="1"/>
      <c r="I23" s="17"/>
      <c r="J23" s="17"/>
      <c r="K23" s="6"/>
      <c r="L23" s="14"/>
      <c r="M23" s="6">
        <f t="shared" si="0"/>
        <v>0</v>
      </c>
      <c r="N23" s="14"/>
      <c r="O23" s="6" t="str">
        <f t="shared" si="1"/>
        <v/>
      </c>
      <c r="P23" s="6">
        <f t="shared" si="2"/>
        <v>0</v>
      </c>
      <c r="Q23" s="14" t="s">
        <v>45</v>
      </c>
      <c r="R23" s="2"/>
      <c r="S23" s="14"/>
    </row>
    <row r="24" spans="1:19" ht="27.75" x14ac:dyDescent="0.2">
      <c r="A24" s="2">
        <v>46021</v>
      </c>
      <c r="B24" s="14" t="s">
        <v>919</v>
      </c>
      <c r="C24" s="14" t="s">
        <v>921</v>
      </c>
      <c r="D24" s="1" t="s">
        <v>107</v>
      </c>
      <c r="E24" s="14" t="s">
        <v>920</v>
      </c>
      <c r="F24" s="7">
        <v>100000</v>
      </c>
      <c r="G24" s="17"/>
      <c r="H24" s="1"/>
      <c r="I24" s="17"/>
      <c r="J24" s="17"/>
      <c r="K24" s="6"/>
      <c r="L24" s="14" t="s">
        <v>26</v>
      </c>
      <c r="M24" s="6">
        <f t="shared" si="0"/>
        <v>100000</v>
      </c>
      <c r="N24" s="14" t="s">
        <v>21</v>
      </c>
      <c r="O24" s="6">
        <f t="shared" si="1"/>
        <v>50000</v>
      </c>
      <c r="P24" s="6">
        <f t="shared" si="2"/>
        <v>50000</v>
      </c>
      <c r="Q24" s="14"/>
      <c r="R24" s="2"/>
      <c r="S24" s="14"/>
    </row>
    <row r="25" spans="1:19" x14ac:dyDescent="0.2">
      <c r="A25" s="2">
        <v>46021</v>
      </c>
      <c r="B25" s="14" t="s">
        <v>922</v>
      </c>
      <c r="C25" s="14" t="s">
        <v>923</v>
      </c>
      <c r="D25" s="1"/>
      <c r="E25" s="14" t="s">
        <v>924</v>
      </c>
      <c r="G25" s="17">
        <v>70000</v>
      </c>
      <c r="H25" s="1"/>
      <c r="I25" s="17"/>
      <c r="J25" s="17"/>
      <c r="K25" s="6"/>
      <c r="L25" s="14" t="s">
        <v>26</v>
      </c>
      <c r="M25" s="6">
        <f t="shared" si="0"/>
        <v>70000</v>
      </c>
      <c r="N25" s="14" t="s">
        <v>21</v>
      </c>
      <c r="O25" s="6">
        <f t="shared" si="1"/>
        <v>35000</v>
      </c>
      <c r="P25" s="6">
        <f t="shared" si="2"/>
        <v>35000</v>
      </c>
      <c r="Q25" s="14"/>
      <c r="R25" s="2"/>
      <c r="S25" s="14"/>
    </row>
    <row r="26" spans="1:19" x14ac:dyDescent="0.2">
      <c r="A26" s="2"/>
      <c r="B26" s="14"/>
      <c r="C26" s="14"/>
      <c r="D26" s="1"/>
      <c r="E26" s="14"/>
      <c r="G26" s="17"/>
      <c r="H26" s="1"/>
      <c r="I26" s="17"/>
      <c r="J26" s="17"/>
      <c r="K26" s="6"/>
      <c r="L26" s="14"/>
      <c r="M26" s="6">
        <f t="shared" si="0"/>
        <v>0</v>
      </c>
      <c r="N26" s="14"/>
      <c r="O26" s="6" t="str">
        <f t="shared" si="1"/>
        <v/>
      </c>
      <c r="P26" s="6">
        <f t="shared" si="2"/>
        <v>0</v>
      </c>
      <c r="Q26" s="14"/>
      <c r="R26" s="2"/>
      <c r="S26" s="14"/>
    </row>
    <row r="27" spans="1:19" x14ac:dyDescent="0.2">
      <c r="A27" s="2"/>
      <c r="B27" s="14"/>
      <c r="C27" s="14"/>
      <c r="D27" s="1"/>
      <c r="E27" s="14"/>
      <c r="G27" s="17"/>
      <c r="H27" s="1"/>
      <c r="I27" s="17"/>
      <c r="J27" s="17"/>
      <c r="K27" s="6"/>
      <c r="L27" s="14"/>
      <c r="M27" s="6">
        <f t="shared" si="0"/>
        <v>0</v>
      </c>
      <c r="N27" s="14"/>
      <c r="O27" s="6" t="str">
        <f t="shared" si="1"/>
        <v/>
      </c>
      <c r="P27" s="6">
        <f t="shared" si="2"/>
        <v>0</v>
      </c>
      <c r="Q27" s="14"/>
      <c r="R27" s="2"/>
      <c r="S27" s="14"/>
    </row>
    <row r="28" spans="1:19" x14ac:dyDescent="0.2">
      <c r="A28" s="2"/>
      <c r="B28" s="14"/>
      <c r="C28" s="14"/>
      <c r="D28" s="1"/>
      <c r="E28" s="14"/>
      <c r="G28" s="17"/>
      <c r="H28" s="1"/>
      <c r="I28" s="17"/>
      <c r="J28" s="17"/>
      <c r="K28" s="6"/>
      <c r="L28" s="14"/>
      <c r="M28" s="6">
        <f t="shared" si="0"/>
        <v>0</v>
      </c>
      <c r="N28" s="14"/>
      <c r="O28" s="6" t="str">
        <f t="shared" si="1"/>
        <v/>
      </c>
      <c r="P28" s="6">
        <f t="shared" si="2"/>
        <v>0</v>
      </c>
      <c r="Q28" s="14"/>
      <c r="R28" s="2"/>
      <c r="S28" s="14"/>
    </row>
    <row r="29" spans="1:19" x14ac:dyDescent="0.2">
      <c r="A29" s="2"/>
      <c r="B29" s="14"/>
      <c r="C29" s="14"/>
      <c r="D29" s="1"/>
      <c r="E29" s="14"/>
      <c r="G29" s="17"/>
      <c r="H29" s="1"/>
      <c r="I29" s="17"/>
      <c r="J29" s="17"/>
      <c r="K29" s="6"/>
      <c r="L29" s="14"/>
      <c r="M29" s="6">
        <f t="shared" si="0"/>
        <v>0</v>
      </c>
      <c r="N29" s="14"/>
      <c r="O29" s="6" t="str">
        <f t="shared" si="1"/>
        <v/>
      </c>
      <c r="P29" s="6">
        <f t="shared" si="2"/>
        <v>0</v>
      </c>
      <c r="Q29" s="14"/>
      <c r="R29" s="2"/>
      <c r="S29" s="14"/>
    </row>
    <row r="30" spans="1:19" x14ac:dyDescent="0.2">
      <c r="A30" s="2"/>
      <c r="B30" s="14"/>
      <c r="C30" s="14"/>
      <c r="D30" s="1"/>
      <c r="E30" s="14"/>
      <c r="G30" s="17"/>
      <c r="H30" s="1"/>
      <c r="I30" s="17"/>
      <c r="J30" s="17"/>
      <c r="K30" s="6"/>
      <c r="L30" s="14"/>
      <c r="M30" s="6">
        <f t="shared" si="0"/>
        <v>0</v>
      </c>
      <c r="N30" s="14"/>
      <c r="O30" s="6" t="str">
        <f t="shared" si="1"/>
        <v/>
      </c>
      <c r="P30" s="6">
        <f t="shared" si="2"/>
        <v>0</v>
      </c>
      <c r="Q30" s="14"/>
      <c r="R30" s="2"/>
      <c r="S30" s="14"/>
    </row>
    <row r="31" spans="1:19" x14ac:dyDescent="0.2">
      <c r="A31" s="2"/>
      <c r="B31" s="14"/>
      <c r="C31" s="14"/>
      <c r="D31" s="1"/>
      <c r="E31" s="14"/>
      <c r="G31" s="17"/>
      <c r="H31" s="1"/>
      <c r="I31" s="17"/>
      <c r="J31" s="17"/>
      <c r="K31" s="6"/>
      <c r="L31" s="14"/>
      <c r="M31" s="6">
        <f t="shared" si="0"/>
        <v>0</v>
      </c>
      <c r="N31" s="14"/>
      <c r="O31" s="6" t="str">
        <f t="shared" si="1"/>
        <v/>
      </c>
      <c r="P31" s="6">
        <f t="shared" si="2"/>
        <v>0</v>
      </c>
      <c r="Q31" s="14"/>
      <c r="R31" s="2"/>
      <c r="S31" s="14"/>
    </row>
    <row r="32" spans="1:19" x14ac:dyDescent="0.2">
      <c r="A32" s="2"/>
      <c r="B32" s="14"/>
      <c r="C32" s="14"/>
      <c r="D32" s="1"/>
      <c r="E32" s="14"/>
      <c r="G32" s="17"/>
      <c r="H32" s="1"/>
      <c r="I32" s="17"/>
      <c r="J32" s="17"/>
      <c r="K32" s="6"/>
      <c r="L32" s="14"/>
      <c r="M32" s="6">
        <f t="shared" si="0"/>
        <v>0</v>
      </c>
      <c r="N32" s="14"/>
      <c r="O32" s="6" t="str">
        <f t="shared" si="1"/>
        <v/>
      </c>
      <c r="P32" s="6">
        <f t="shared" si="2"/>
        <v>0</v>
      </c>
      <c r="Q32" s="14"/>
      <c r="R32" s="2"/>
      <c r="S32" s="14"/>
    </row>
    <row r="33" spans="1:19" x14ac:dyDescent="0.2">
      <c r="A33" s="2"/>
      <c r="B33" s="14"/>
      <c r="C33" s="14"/>
      <c r="D33" s="1"/>
      <c r="E33" s="14"/>
      <c r="G33" s="17"/>
      <c r="H33" s="1"/>
      <c r="I33" s="17"/>
      <c r="J33" s="17"/>
      <c r="K33" s="6"/>
      <c r="L33" s="14"/>
      <c r="M33" s="6">
        <f t="shared" si="0"/>
        <v>0</v>
      </c>
      <c r="N33" s="14"/>
      <c r="O33" s="6" t="str">
        <f t="shared" si="1"/>
        <v/>
      </c>
      <c r="P33" s="6">
        <f t="shared" si="2"/>
        <v>0</v>
      </c>
      <c r="Q33" s="14"/>
      <c r="R33" s="2"/>
      <c r="S33" s="14"/>
    </row>
    <row r="34" spans="1:19" x14ac:dyDescent="0.2">
      <c r="A34" s="2"/>
      <c r="B34" s="14"/>
      <c r="C34" s="14"/>
      <c r="D34" s="1"/>
      <c r="E34" s="14"/>
      <c r="G34" s="17"/>
      <c r="H34" s="1"/>
      <c r="I34" s="17"/>
      <c r="J34" s="17"/>
      <c r="K34" s="6"/>
      <c r="L34" s="14"/>
      <c r="M34" s="6">
        <f t="shared" si="0"/>
        <v>0</v>
      </c>
      <c r="N34" s="14"/>
      <c r="O34" s="6" t="str">
        <f t="shared" si="1"/>
        <v/>
      </c>
      <c r="P34" s="6">
        <f t="shared" si="2"/>
        <v>0</v>
      </c>
      <c r="Q34" s="14"/>
      <c r="R34" s="2"/>
      <c r="S34" s="14"/>
    </row>
    <row r="35" spans="1:19" x14ac:dyDescent="0.2">
      <c r="A35" s="2"/>
      <c r="B35" s="14"/>
      <c r="C35" s="14"/>
      <c r="D35" s="1"/>
      <c r="E35" s="14"/>
      <c r="G35" s="17"/>
      <c r="H35" s="1"/>
      <c r="I35" s="17"/>
      <c r="J35" s="17"/>
      <c r="K35" s="6"/>
      <c r="L35" s="14"/>
      <c r="M35" s="6">
        <f t="shared" si="0"/>
        <v>0</v>
      </c>
      <c r="N35" s="14"/>
      <c r="O35" s="6" t="str">
        <f t="shared" si="1"/>
        <v/>
      </c>
      <c r="P35" s="6">
        <f t="shared" si="2"/>
        <v>0</v>
      </c>
      <c r="Q35" s="14"/>
      <c r="R35" s="2"/>
      <c r="S35" s="14"/>
    </row>
    <row r="36" spans="1:19" x14ac:dyDescent="0.2">
      <c r="A36" s="2"/>
      <c r="B36" s="14"/>
      <c r="C36" s="14"/>
      <c r="D36" s="1"/>
      <c r="E36" s="14"/>
      <c r="G36" s="17"/>
      <c r="H36" s="1"/>
      <c r="I36" s="17"/>
      <c r="J36" s="17"/>
      <c r="K36" s="6"/>
      <c r="L36" s="14"/>
      <c r="M36" s="6">
        <f t="shared" si="0"/>
        <v>0</v>
      </c>
      <c r="N36" s="14"/>
      <c r="O36" s="6" t="str">
        <f t="shared" si="1"/>
        <v/>
      </c>
      <c r="P36" s="6">
        <f t="shared" si="2"/>
        <v>0</v>
      </c>
      <c r="Q36" s="14"/>
      <c r="R36" s="2"/>
      <c r="S36" s="14"/>
    </row>
    <row r="37" spans="1:19" x14ac:dyDescent="0.2">
      <c r="A37" s="2"/>
      <c r="B37" s="14"/>
      <c r="C37" s="14"/>
      <c r="D37" s="1"/>
      <c r="E37" s="14"/>
      <c r="G37" s="17"/>
      <c r="H37" s="1"/>
      <c r="I37" s="17"/>
      <c r="J37" s="17"/>
      <c r="K37" s="6"/>
      <c r="L37" s="14"/>
      <c r="M37" s="6">
        <f t="shared" si="0"/>
        <v>0</v>
      </c>
      <c r="N37" s="14"/>
      <c r="O37" s="6" t="str">
        <f t="shared" si="1"/>
        <v/>
      </c>
      <c r="P37" s="6">
        <f t="shared" si="2"/>
        <v>0</v>
      </c>
      <c r="Q37" s="14"/>
      <c r="R37" s="2"/>
      <c r="S37" s="14"/>
    </row>
    <row r="38" spans="1:19" x14ac:dyDescent="0.2">
      <c r="A38" s="2"/>
      <c r="B38" s="14"/>
      <c r="C38" s="14"/>
      <c r="D38" s="1"/>
      <c r="E38" s="14"/>
      <c r="G38" s="17"/>
      <c r="H38" s="1"/>
      <c r="I38" s="17"/>
      <c r="J38" s="17"/>
      <c r="K38" s="6"/>
      <c r="L38" s="14"/>
      <c r="M38" s="6">
        <f t="shared" si="0"/>
        <v>0</v>
      </c>
      <c r="N38" s="14"/>
      <c r="O38" s="6" t="str">
        <f t="shared" si="1"/>
        <v/>
      </c>
      <c r="P38" s="6">
        <f t="shared" si="2"/>
        <v>0</v>
      </c>
      <c r="Q38" s="14"/>
      <c r="R38" s="2"/>
      <c r="S38" s="14"/>
    </row>
    <row r="39" spans="1:19" x14ac:dyDescent="0.2">
      <c r="A39" s="2"/>
      <c r="B39" s="14"/>
      <c r="C39" s="14"/>
      <c r="D39" s="1"/>
      <c r="E39" s="14"/>
      <c r="G39" s="17"/>
      <c r="H39" s="1"/>
      <c r="I39" s="17"/>
      <c r="J39" s="17"/>
      <c r="K39" s="6"/>
      <c r="L39" s="14"/>
      <c r="M39" s="6">
        <f t="shared" si="0"/>
        <v>0</v>
      </c>
      <c r="N39" s="14"/>
      <c r="O39" s="6" t="str">
        <f t="shared" si="1"/>
        <v/>
      </c>
      <c r="P39" s="6">
        <f t="shared" si="2"/>
        <v>0</v>
      </c>
      <c r="Q39" s="14"/>
      <c r="R39" s="2"/>
      <c r="S39" s="14"/>
    </row>
    <row r="40" spans="1:19" x14ac:dyDescent="0.2">
      <c r="A40" s="2"/>
      <c r="B40" s="14"/>
      <c r="C40" s="14"/>
      <c r="D40" s="1"/>
      <c r="E40" s="14"/>
      <c r="G40" s="17"/>
      <c r="H40" s="1"/>
      <c r="I40" s="17"/>
      <c r="J40" s="17"/>
      <c r="K40" s="6"/>
      <c r="L40" s="14"/>
      <c r="M40" s="6">
        <f t="shared" si="0"/>
        <v>0</v>
      </c>
      <c r="N40" s="14"/>
      <c r="O40" s="6" t="str">
        <f t="shared" si="1"/>
        <v/>
      </c>
      <c r="P40" s="6">
        <f t="shared" si="2"/>
        <v>0</v>
      </c>
      <c r="Q40" s="14"/>
      <c r="R40" s="2"/>
      <c r="S40" s="14"/>
    </row>
    <row r="41" spans="1:19" x14ac:dyDescent="0.2">
      <c r="A41" s="3" t="s">
        <v>119</v>
      </c>
      <c r="F41" s="13"/>
      <c r="S41" s="15">
        <f>SUBTOTAL(103,Tabla145678910111213[[NOTAS ]])</f>
        <v>15</v>
      </c>
    </row>
  </sheetData>
  <conditionalFormatting sqref="A2:S41">
    <cfRule type="expression" dxfId="21" priority="1" stopIfTrue="1">
      <formula>$Q2="YA RELACIONADO"</formula>
    </cfRule>
    <cfRule type="expression" dxfId="20" priority="2" stopIfTrue="1">
      <formula>$Q2="COTIZACIÓN"</formula>
    </cfRule>
    <cfRule type="expression" dxfId="19" priority="3" stopIfTrue="1">
      <formula>$Q2="NO PAGARON DOMICILIO"</formula>
    </cfRule>
    <cfRule type="expression" dxfId="18" priority="4" stopIfTrue="1">
      <formula>$Q2="NO SE COBRA DOMICILIO"</formula>
    </cfRule>
    <cfRule type="expression" dxfId="17" priority="5" stopIfTrue="1">
      <formula>$Q2="GARANTIA"</formula>
    </cfRule>
    <cfRule type="expression" dxfId="16" priority="6" stopIfTrue="1">
      <formula>$Q2="CANCELADO"</formula>
    </cfRule>
  </conditionalFormatting>
  <dataValidations count="3">
    <dataValidation type="list" allowBlank="1" showInputMessage="1" showErrorMessage="1" sqref="Q2:Q40" xr:uid="{7472EC37-26F5-461F-B707-06233863D4B4}">
      <formula1>$AC$1:$AC$7</formula1>
    </dataValidation>
    <dataValidation type="list" allowBlank="1" showInputMessage="1" showErrorMessage="1" sqref="L2:L40" xr:uid="{FD288740-13B2-42F4-88B7-00417255E050}">
      <formula1>$AB$1:$AB$2</formula1>
    </dataValidation>
    <dataValidation type="list" allowBlank="1" showInputMessage="1" showErrorMessage="1" sqref="N2:N40" xr:uid="{C640F7B4-117E-4932-A02E-7B7E0D1E01F1}">
      <formula1>$AD$1:$AD$2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gabriel Carvajal</dc:creator>
  <cp:keywords/>
  <dc:description/>
  <cp:lastModifiedBy>Juan gabriel Carvajal</cp:lastModifiedBy>
  <cp:revision/>
  <dcterms:created xsi:type="dcterms:W3CDTF">2024-12-29T15:04:32Z</dcterms:created>
  <dcterms:modified xsi:type="dcterms:W3CDTF">2025-11-25T01:42:01Z</dcterms:modified>
  <cp:category/>
  <cp:contentStatus/>
</cp:coreProperties>
</file>